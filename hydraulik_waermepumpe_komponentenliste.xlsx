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1e83e39b7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samtkonzept" sheetId="1" r:id="R1319b29e3adf4239"/>
    <x:sheet xmlns:r="http://schemas.openxmlformats.org/officeDocument/2006/relationships" name="Komponentenliste" sheetId="2" r:id="R6765fff495244429"/>
    <x:sheet xmlns:r="http://schemas.openxmlformats.org/officeDocument/2006/relationships" name="Dimensionen" sheetId="3" r:id="Rf8eebf04f07d4004"/>
    <x:sheet xmlns:r="http://schemas.openxmlformats.org/officeDocument/2006/relationships" name="Quellen &amp; Hinweise" sheetId="4" r:id="R4a21b6316b4544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€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759f55996a45de" /><Relationship Type="http://schemas.openxmlformats.org/officeDocument/2006/relationships/theme" Target="/xl/theme/theme1.xml" Id="R986e56984d8f4881" /><Relationship Type="http://schemas.openxmlformats.org/officeDocument/2006/relationships/sharedStrings" Target="/xl/sharedStrings.xml" Id="R87b3fdd97bde460e" /><Relationship Type="http://schemas.openxmlformats.org/officeDocument/2006/relationships/worksheet" Target="/xl/worksheets/sheet1.xml" Id="R1319b29e3adf4239" /><Relationship Type="http://schemas.openxmlformats.org/officeDocument/2006/relationships/worksheet" Target="/xl/worksheets/sheet2.xml" Id="R6765fff495244429" /><Relationship Type="http://schemas.openxmlformats.org/officeDocument/2006/relationships/worksheet" Target="/xl/worksheets/sheet3.xml" Id="Rf8eebf04f07d4004" /><Relationship Type="http://schemas.openxmlformats.org/officeDocument/2006/relationships/worksheet" Target="/xl/worksheets/sheet4.xml" Id="R4a21b6316b454446" /></Relationships>
</file>

<file path=xl/tables/table1.xml><?xml version="1.0" encoding="utf-8"?>
<x:table xmlns:x="http://schemas.openxmlformats.org/spreadsheetml/2006/main" id="1" name="KomponentenTabelle" displayName="KomponentenTabelle" ref="A1:M92" headerRowCount="1">
  <x:tableColumns count="13">
    <x:tableColumn id="1" name="ID"/>
    <x:tableColumn id="2" name="Baugruppe"/>
    <x:tableColumn id="3" name="Einbauort / genaue Position"/>
    <x:tableColumn id="4" name="Komponente"/>
    <x:tableColumn id="5" name="Neu/Bestand"/>
    <x:tableColumn id="6" name="Menge"/>
    <x:tableColumn id="7" name="Dimension / Spezifikation"/>
    <x:tableColumn id="8" name="Funktion / Beschreibung"/>
    <x:tableColumn id="9" name="Günstiger Einkaufslink / Suchlink"/>
    <x:tableColumn id="10" name="Preis grob €"/>
    <x:tableColumn id="11" name="Gesamt grob €"/>
    <x:tableColumn id="12" name="Priorität"/>
    <x:tableColumn id="13" name="Hinweise / Prüfen"/>
  </x:tableColumns>
  <x:tableStyleInfo name="TableStyleMedium2" showRowStripes="1"/>
</x:table>
</file>

<file path=xl/tables/table2.xml><?xml version="1.0" encoding="utf-8"?>
<x:table xmlns:x="http://schemas.openxmlformats.org/spreadsheetml/2006/main" id="2" name="DimensionenTabelle" displayName="DimensionenTabelle" ref="A1:C11" headerRowCount="1">
  <x:tableColumns count="3">
    <x:tableColumn id="1" name="Bereich"/>
    <x:tableColumn id="2" name="Empfehlung"/>
    <x:tableColumn id="3" name="Begründung / Hinweis"/>
  </x:tableColumns>
  <x:tableStyleInfo name="TableStyleMedium2" showRowStripes="1"/>
</x:table>
</file>

<file path=xl/tables/table3.xml><?xml version="1.0" encoding="utf-8"?>
<x:table xmlns:x="http://schemas.openxmlformats.org/spreadsheetml/2006/main" id="3" name="QuellenTabelle" displayName="QuellenTabelle" ref="A1:C17" headerRowCount="1">
  <x:tableColumns count="3">
    <x:tableColumn id="1" name="Quelle / Link"/>
    <x:tableColumn id="2" name="Wofür verwendet"/>
    <x:tableColumn id="3" name="Stand / Hinwei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dcea163d984c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767672baef42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f54561fe584d7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  <x:col min="3" max="3" width="10" hidden="0" customWidth="1"/>
    <x:col min="4" max="4" width="10" hidden="0" customWidth="1"/>
  </x:cols>
  <x:sheetData>
    <x:row r="1" ht="28" customHeight="1">
      <x:c r="A1" s="14" t="str">
        <x:v>Hydraulisches Gesamtkonzept Wärmepumpe / Heizung / Pool / Brunnenkühlung</x:v>
      </x:c>
      <x:c r="B1" t="str"/>
      <x:c r="C1" t="str"/>
      <x:c r="D1" t="str"/>
    </x:row>
    <x:row r="2">
      <x:c r="A2" s="18" t="str">
        <x:v>Stand</x:v>
      </x:c>
      <x:c r="B2" s="18" t="str">
        <x:v>2026-06-25</x:v>
      </x:c>
      <x:c r="C2" s="18" t="str"/>
      <x:c r="D2" s="18" t="str"/>
    </x:row>
    <x:row r="3">
      <x:c r="A3" s="18" t="str">
        <x:v>Grundannahmen</x:v>
      </x:c>
      <x:c r="B3" s="18" t="str">
        <x:v>2× Monoblock-Wärmepumpe außen; je WP eigene Pumpe und motorisches Ventil/3WV, alternierend oder parallel fahrbar.</x:v>
      </x:c>
      <x:c r="C3" s="18" t="str"/>
      <x:c r="D3" s="18" t="str"/>
    </x:row>
    <x:row r="4">
      <x:c r="A4" s="18" t="str"/>
      <x:c r="B4" s="18" t="str">
        <x:v>WP-Sammelschiene bei den Wärmepumpen; Sammelleitung über Dach/First in Heizungsraum; am First je VL/RL Entlüfter mit Absperrkugelhahn.</x:v>
      </x:c>
      <x:c r="C4" s="18" t="str"/>
      <x:c r="D4" s="18" t="str"/>
    </x:row>
    <x:row r="5">
      <x:c r="A5" s="18" t="str"/>
      <x:c r="B5" s="18" t="str">
        <x:v>Heizungsraum wird komplett neu aufgebaut; vorhandenes Ausdehnungsgefäß bleibt. Dort sitzen Ölbrenner-Einbindung, Abgänge Pool und Nebengebäude sowie Weiterleitung ins Haupthaus.</x:v>
      </x:c>
      <x:c r="C5" s="18" t="str"/>
      <x:c r="D5" s="18" t="str"/>
    </x:row>
    <x:row r="6">
      <x:c r="A6" s="18" t="str"/>
      <x:c r="B6" s="18" t="str">
        <x:v>Haupthausleitung bleibt bestehen; im Haupthaus bleiben die 2 bestehenden Heizkreise FBH und Radiatoren mit vorhandenen 3WV/Pumpen; Kaltwassergeräte/Fan-Coils bekommen neuen Kreis/HKV.</x:v>
      </x:c>
      <x:c r="C6" s="18" t="str"/>
      <x:c r="D6" s="18" t="str"/>
    </x:row>
    <x:row r="7">
      <x:c r="A7" s="18" t="str"/>
      <x:c r="B7" s="18" t="str">
        <x:v>Brunnenpumpe bleibt; neu benötigt werden Brunnen-Wärmetauscher, Ventil(e), Gebäudekühlkreis-Armaturen und Mess-/Sicherheitskomponenten.</x:v>
      </x:c>
      <x:c r="C7" s="18" t="str"/>
      <x:c r="D7" s="18" t="str"/>
    </x:row>
    <x:row r="8">
      <x:c r="A8" s="18" t="str"/>
      <x:c r="B8" s="18" t="str">
        <x:v>Pool bekommt Wärmetauscher und eigene Dosierstrecke mit pH, Redox/Chlor, pH-, Chlor und Flockungsmittel per Einzel-Schlauchpumpen; Steuerung erfolgt durch eigene Steuerung.</x:v>
      </x:c>
      <x:c r="C8" s="18" t="str"/>
      <x:c r="D8" s="18" t="str"/>
    </x:row>
    <x:row r="9">
      <x:c r="A9" s="18" t="str"/>
      <x:c r="B9" s="18" t="str"/>
      <x:c r="C9" s="18" t="str"/>
      <x:c r="D9" s="18" t="str"/>
    </x:row>
    <x:row r="10">
      <x:c r="A10" s="18" t="str">
        <x:v>Schema WP-Seite</x:v>
      </x:c>
      <x:c r="B10" s="18" t="str">
        <x:v>WP1 → Absperrung/Flex/Filter/Pumpe/Rückschlag/motorisches Ventil → WP-Sammelschiene</x:v>
      </x:c>
      <x:c r="C10" s="18" t="str"/>
      <x:c r="D10" s="18" t="str"/>
    </x:row>
    <x:row r="11">
      <x:c r="A11" s="18" t="str"/>
      <x:c r="B11" s="18" t="str">
        <x:v>WP2 → Absperrung/Flex/Filter/Pumpe/Rückschlag/motorisches Ventil → WP-Sammelschiene</x:v>
      </x:c>
      <x:c r="C11" s="18" t="str"/>
      <x:c r="D11" s="18" t="str"/>
    </x:row>
    <x:row r="12">
      <x:c r="A12" s="18" t="str"/>
      <x:c r="B12" s="18" t="str">
        <x:v>WP-Sammelschiene VL/RL → Sammelleitung über Dach/First → Heizungsraum</x:v>
      </x:c>
      <x:c r="C12" s="18" t="str"/>
      <x:c r="D12" s="18" t="str"/>
    </x:row>
    <x:row r="13">
      <x:c r="A13" s="18" t="str">
        <x:v>Schema Heizungsraum</x:v>
      </x:c>
      <x:c r="B13" s="18" t="str">
        <x:v>Sammelleitung von WP-Seite → Haupt-Sammelpunkt warm VL/RL → Ölbrenner, Pool-WT, Nebengebäude, Haupthaus</x:v>
      </x:c>
      <x:c r="C13" s="18" t="str"/>
      <x:c r="D13" s="18" t="str"/>
    </x:row>
    <x:row r="14">
      <x:c r="A14" s="18" t="str">
        <x:v>Schema Haupthaus</x:v>
      </x:c>
      <x:c r="B14" s="18" t="str">
        <x:v>Leitung aus Heizungsraum → Haupthaus-Verteiler → FBH-EG (bestehend), Radiatoren (bestehend), Kaltwassergeräte/Fan-Coils (neu)</x:v>
      </x:c>
      <x:c r="C14" s="18" t="str"/>
      <x:c r="D14" s="18" t="str"/>
    </x:row>
    <x:row r="15">
      <x:c r="A15" s="18" t="str">
        <x:v>Schema Brunnenkühlung</x:v>
      </x:c>
      <x:c r="B15" s="18" t="str">
        <x:v>Brunnen offen: Brunnen → Brunnenpumpe → Filter/Ventil → Brunnen-WT → Ablauf/Schluckbrunnen</x:v>
      </x:c>
      <x:c r="C15" s="18" t="str"/>
      <x:c r="D15" s="18" t="str"/>
    </x:row>
    <x:row r="16">
      <x:c r="A16" s="18" t="str"/>
      <x:c r="B16" s="18" t="str">
        <x:v>Gebäude geschlossen: Brunnen-WT → Kalt-VL → Fan-Coil-HKV → Kalt-RL → Brunnen-WT</x:v>
      </x:c>
      <x:c r="C16" s="18" t="str"/>
      <x:c r="D16" s="18" t="str"/>
    </x:row>
    <x:row r="17">
      <x:c r="A17" s="18" t="str">
        <x:v>Schema Pool</x:v>
      </x:c>
      <x:c r="B17" s="18" t="str">
        <x:v>Heizungsseite: Hauptsammler → 3WV/Zonenventil → Pool-Heizkreispumpe → Pool-Plattenwärmetauscher → Rücklauf</x:v>
      </x:c>
      <x:c r="C17" s="18" t="str"/>
      <x:c r="D17" s="18" t="str"/>
    </x:row>
    <x:row r="18">
      <x:c r="A18" s="18" t="str"/>
      <x:c r="B18" s="18" t="str">
        <x:v>Poolseite: Pool → Filterpumpe/Filter → Messstrecke/Dosierstellen → Pool-WT → zurück Pool</x:v>
      </x:c>
      <x:c r="C18" s="18" t="str"/>
      <x:c r="D18" s="18" t="str"/>
    </x:row>
    <x:row r="19">
      <x:c r="A19" s="18" t="str"/>
      <x:c r="B19" s="18" t="str"/>
      <x:c r="C19" s="18" t="str"/>
      <x:c r="D19" s="18" t="str"/>
    </x:row>
    <x:row r="20">
      <x:c r="A20" s="18" t="str">
        <x:v>Betriebslogik WP</x:v>
      </x:c>
      <x:c r="B20" s="18" t="str">
        <x:v>Nur WP1: Pumpe WP1 an, Ventil WP1 offen; WP2 aus und Ventil zu.</x:v>
      </x:c>
      <x:c r="C20" s="18" t="str"/>
      <x:c r="D20" s="18" t="str"/>
    </x:row>
    <x:row r="21">
      <x:c r="A21" s="18" t="str"/>
      <x:c r="B21" s="18" t="str">
        <x:v>Nur WP2: Pumpe WP2 an, Ventil WP2 offen; WP1 aus und Ventil zu.</x:v>
      </x:c>
      <x:c r="C21" s="18" t="str"/>
      <x:c r="D21" s="18" t="str"/>
    </x:row>
    <x:row r="22">
      <x:c r="A22" s="18" t="str"/>
      <x:c r="B22" s="18" t="str">
        <x:v>Parallel: beide Pumpen an, beide Ventile offen. Rückschlagventile verhindern Fehlzirkulation.</x:v>
      </x:c>
      <x:c r="C22" s="18" t="str"/>
      <x:c r="D22" s="18" t="str"/>
    </x:row>
    <x:row r="23">
      <x:c r="A23" s="18" t="str"/>
      <x:c r="B23" s="18" t="str">
        <x:v>Abtauung/Störung: betroffene WP hydraulisch sperren, andere WP kann weiterlaufen.</x:v>
      </x:c>
      <x:c r="C23" s="18" t="str"/>
      <x:c r="D23" s="18" t="str"/>
    </x:row>
    <x:row r="24">
      <x:c r="A24" s="18" t="str"/>
      <x:c r="B24" s="18" t="str"/>
      <x:c r="C24" s="18" t="str"/>
      <x:c r="D24" s="18" t="str"/>
    </x:row>
    <x:row r="25">
      <x:c r="A25" s="18" t="str">
        <x:v>Wichtige Hinweise</x:v>
      </x:c>
      <x:c r="B25" s="18" t="str">
        <x:v>Komponentenliste ist eine Planungs-/Einkaufsliste, keine Ausführungsplanung nach DIN. Sicherheitsrelevante Auslegung, Druckverlust, MAG-Größe, Frostschutz und elektrische Verdrahtung vor Bau prüfen.</x:v>
      </x:c>
      <x:c r="C25" s="18" t="str"/>
      <x:c r="D25" s="18" t="str"/>
    </x:row>
    <x:row r="26">
      <x:c r="A26" s="18" t="str"/>
      <x:c r="B26" s="18" t="str">
        <x:v>Günstige Links sind Einkaufs-/Suchlinks. Vor Bestellung: Anschlussmaß, Temperatur, Druck, Medium, Zulassung und Sauerstoffdichtheit prüfen.</x:v>
      </x:c>
      <x:c r="C26" s="18" t="str"/>
      <x:c r="D26" s="1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32" hidden="0" customWidth="1"/>
    <x:col min="5" max="5" width="14" hidden="0" customWidth="1"/>
    <x:col min="6" max="6" width="9" hidden="0" customWidth="1"/>
    <x:col min="7" max="7" width="35" hidden="0" customWidth="1"/>
    <x:col min="8" max="8" width="44" hidden="0" customWidth="1"/>
    <x:col min="9" max="9" width="48" hidden="0" customWidth="1"/>
    <x:col min="10" max="10" width="12" hidden="0" customWidth="1"/>
    <x:col min="11" max="11" width="13" hidden="0" customWidth="1"/>
    <x:col min="12" max="12" width="12" hidden="0" customWidth="1"/>
    <x:col min="13" max="13" width="48" hidden="0" customWidth="1"/>
  </x:cols>
  <x:sheetData>
    <x:row r="1">
      <x:c r="A1" s="6" t="str">
        <x:v>ID</x:v>
      </x:c>
      <x:c r="B1" s="6" t="str">
        <x:v>Baugruppe</x:v>
      </x:c>
      <x:c r="C1" s="6" t="str">
        <x:v>Einbauort / genaue Position</x:v>
      </x:c>
      <x:c r="D1" s="6" t="str">
        <x:v>Komponente</x:v>
      </x:c>
      <x:c r="E1" s="6" t="str">
        <x:v>Neu/Bestand</x:v>
      </x:c>
      <x:c r="F1" s="6" t="str">
        <x:v>Menge</x:v>
      </x:c>
      <x:c r="G1" s="6" t="str">
        <x:v>Dimension / Spezifikation</x:v>
      </x:c>
      <x:c r="H1" s="6" t="str">
        <x:v>Funktion / Beschreibung</x:v>
      </x:c>
      <x:c r="I1" s="6" t="str">
        <x:v>Günstiger Einkaufslink / Suchlink</x:v>
      </x:c>
      <x:c r="J1" s="20" t="str">
        <x:v>Preis grob €</x:v>
      </x:c>
      <x:c r="K1" s="20" t="str">
        <x:v>Gesamt grob €</x:v>
      </x:c>
      <x:c r="L1" s="6" t="str">
        <x:v>Priorität</x:v>
      </x:c>
      <x:c r="M1" s="6" t="str">
        <x:v>Hinweise / Prüfen</x:v>
      </x:c>
    </x:row>
    <x:row r="2">
      <x:c r="A2" s="18" t="str">
        <x:v>WP-001</x:v>
      </x:c>
      <x:c r="B2" s="18" t="str">
        <x:v>WP-Seite außen</x:v>
      </x:c>
      <x:c r="C2" s="18" t="str">
        <x:v>WP1 direkt am 1" Außengewinde VL/RL</x:v>
      </x:c>
      <x:c r="D2" s="18" t="str">
        <x:v>Kurzer flexibler Heizungsanschluss</x:v>
      </x:c>
      <x:c r="E2" s="18" t="str">
        <x:v>Neu</x:v>
      </x:c>
      <x:c r="F2" s="18" t="n">
        <x:v>2</x:v>
      </x:c>
      <x:c r="G2" s="18" t="str">
        <x:v>1" IG/AG, Edelstahlwellrohr/Panzerschlauch, 30–50 cm</x:v>
      </x:c>
      <x:c r="H2" s="18" t="str">
        <x:v>Schwingungsentkopplung direkt an WP1, nicht als lange Leitung verwenden</x:v>
      </x:c>
      <x:c r="I2" s="18" t="str">
        <x:v>https://www.amazon.de/s?k=edelstahlwellrohr+1+zoll+flexibel+heizung</x:v>
      </x:c>
      <x:c r="J2" s="18" t="n">
        <x:v>25</x:v>
      </x:c>
      <x:c r="K2" s="18" t="n">
        <x:f>IF(OR(F2="",J2=""),"",F2*J2)</x:f>
        <x:v>50</x:v>
      </x:c>
      <x:c r="L2" s="18" t="str">
        <x:v>hoch</x:v>
      </x:c>
      <x:c r="M2" s="18" t="str">
        <x:v>Temperatur/Druck und Sauerstoffthema egal, da Metall; möglichst kurz halten</x:v>
      </x:c>
    </x:row>
    <x:row r="3">
      <x:c r="A3" s="18" t="str">
        <x:v>WP-002</x:v>
      </x:c>
      <x:c r="B3" s="18" t="str">
        <x:v>WP-Seite außen</x:v>
      </x:c>
      <x:c r="C3" s="18" t="str">
        <x:v>WP2 direkt am 1" Außengewinde VL/RL</x:v>
      </x:c>
      <x:c r="D3" s="18" t="str">
        <x:v>Kurzer flexibler Heizungsanschluss</x:v>
      </x:c>
      <x:c r="E3" s="18" t="str">
        <x:v>Neu</x:v>
      </x:c>
      <x:c r="F3" s="18" t="n">
        <x:v>2</x:v>
      </x:c>
      <x:c r="G3" s="18" t="str">
        <x:v>1" IG/AG, Edelstahlwellrohr/Panzerschlauch, 30–50 cm</x:v>
      </x:c>
      <x:c r="H3" s="18" t="str">
        <x:v>Schwingungsentkopplung direkt an WP2</x:v>
      </x:c>
      <x:c r="I3" s="18" t="str">
        <x:v>https://www.amazon.de/s?k=edelstahlwellrohr+1+zoll+flexibel+heizung</x:v>
      </x:c>
      <x:c r="J3" s="18" t="n">
        <x:v>25</x:v>
      </x:c>
      <x:c r="K3" s="18" t="n">
        <x:f>IF(OR(F3="",J3=""),"",F3*J3)</x:f>
        <x:v>50</x:v>
      </x:c>
      <x:c r="L3" s="18" t="str">
        <x:v>hoch</x:v>
      </x:c>
      <x:c r="M3" s="18" t="str">
        <x:v>Möglichst kurze flexible Strecke</x:v>
      </x:c>
    </x:row>
    <x:row r="4">
      <x:c r="A4" s="18" t="str">
        <x:v>WP-003</x:v>
      </x:c>
      <x:c r="B4" s="18" t="str">
        <x:v>WP-Seite außen</x:v>
      </x:c>
      <x:c r="C4" s="18" t="str">
        <x:v>Je WP vor und nach Filter/Pumpe</x:v>
      </x:c>
      <x:c r="D4" s="18" t="str">
        <x:v>Kugelhahn / Absperrhahn</x:v>
      </x:c>
      <x:c r="E4" s="18" t="str">
        <x:v>Neu</x:v>
      </x:c>
      <x:c r="F4" s="18" t="n">
        <x:v>8</x:v>
      </x:c>
      <x:c r="G4" s="18" t="str">
        <x:v>1" IG, voller Durchgang</x:v>
      </x:c>
      <x:c r="H4" s="18" t="str">
        <x:v>Absperren von WP1/WP2 VL/RL für Wartung</x:v>
      </x:c>
      <x:c r="I4" s="18" t="str">
        <x:v>https://www.amazon.de/s?k=kugelhahn+1+zoll+heizung</x:v>
      </x:c>
      <x:c r="J4" s="18" t="n">
        <x:v>12</x:v>
      </x:c>
      <x:c r="K4" s="18" t="n">
        <x:f>IF(OR(F4="",J4=""),"",F4*J4)</x:f>
        <x:v>96</x:v>
      </x:c>
      <x:c r="L4" s="18" t="str">
        <x:v>hoch</x:v>
      </x:c>
      <x:c r="M4" s="18" t="str">
        <x:v>Messing/Heizung geeignet; full bore bevorzugt</x:v>
      </x:c>
    </x:row>
    <x:row r="5">
      <x:c r="A5" s="18" t="str">
        <x:v>WP-004</x:v>
      </x:c>
      <x:c r="B5" s="18" t="str">
        <x:v>WP-Seite außen</x:v>
      </x:c>
      <x:c r="C5" s="18" t="str">
        <x:v>WP1 Rücklauf vor Wärmepumpe</x:v>
      </x:c>
      <x:c r="D5" s="18" t="str">
        <x:v>Schmutzfänger Y-Filter</x:v>
      </x:c>
      <x:c r="E5" s="18" t="str">
        <x:v>Neu</x:v>
      </x:c>
      <x:c r="F5" s="18" t="n">
        <x:v>1</x:v>
      </x:c>
      <x:c r="G5" s="18" t="str">
        <x:v>1" IG, Heizung</x:v>
      </x:c>
      <x:c r="H5" s="18" t="str">
        <x:v>Schützt WP1-Wärmetauscher/Pumpe vor Schmutz</x:v>
      </x:c>
      <x:c r="I5" s="18" t="str">
        <x:v>https://www.amazon.de/s?k=schmutzf%C3%A4nger+1+zoll+heizung</x:v>
      </x:c>
      <x:c r="J5" s="18" t="n">
        <x:v>18</x:v>
      </x:c>
      <x:c r="K5" s="18" t="n">
        <x:f>IF(OR(F5="",J5=""),"",F5*J5)</x:f>
        <x:v>18</x:v>
      </x:c>
      <x:c r="L5" s="18" t="str">
        <x:v>hoch</x:v>
      </x:c>
      <x:c r="M5" s="18" t="str">
        <x:v>Maschenweite nicht zu fein, Spülbarkeit sinnvoll</x:v>
      </x:c>
    </x:row>
    <x:row r="6">
      <x:c r="A6" s="18" t="str">
        <x:v>WP-005</x:v>
      </x:c>
      <x:c r="B6" s="18" t="str">
        <x:v>WP-Seite außen</x:v>
      </x:c>
      <x:c r="C6" s="18" t="str">
        <x:v>WP2 Rücklauf vor Wärmepumpe</x:v>
      </x:c>
      <x:c r="D6" s="18" t="str">
        <x:v>Schmutzfänger Y-Filter</x:v>
      </x:c>
      <x:c r="E6" s="18" t="str">
        <x:v>Neu</x:v>
      </x:c>
      <x:c r="F6" s="18" t="n">
        <x:v>1</x:v>
      </x:c>
      <x:c r="G6" s="18" t="str">
        <x:v>1" IG, Heizung</x:v>
      </x:c>
      <x:c r="H6" s="18" t="str">
        <x:v>Schützt WP2-Wärmetauscher/Pumpe vor Schmutz</x:v>
      </x:c>
      <x:c r="I6" s="18" t="str">
        <x:v>https://www.amazon.de/s?k=schmutzf%C3%A4nger+1+zoll+heizung</x:v>
      </x:c>
      <x:c r="J6" s="18" t="n">
        <x:v>18</x:v>
      </x:c>
      <x:c r="K6" s="18" t="n">
        <x:f>IF(OR(F6="",J6=""),"",F6*J6)</x:f>
        <x:v>18</x:v>
      </x:c>
      <x:c r="L6" s="18" t="str">
        <x:v>hoch</x:v>
      </x:c>
      <x:c r="M6" s="18" t="str">
        <x:v>Herstellerforderung der WP prüfen</x:v>
      </x:c>
    </x:row>
    <x:row r="7">
      <x:c r="A7" s="18" t="str">
        <x:v>WP-006</x:v>
      </x:c>
      <x:c r="B7" s="18" t="str">
        <x:v>WP-Seite außen</x:v>
      </x:c>
      <x:c r="C7" s="18" t="str">
        <x:v>WP1 Vorlauf/Rücklauf-Einbindung vor WP-Sammelschiene</x:v>
      </x:c>
      <x:c r="D7" s="18" t="str">
        <x:v>WP1-Umwälzpumpe</x:v>
      </x:c>
      <x:c r="E7" s="18" t="str">
        <x:v>Neu</x:v>
      </x:c>
      <x:c r="F7" s="18" t="n">
        <x:v>1</x:v>
      </x:c>
      <x:c r="G7" s="18" t="str">
        <x:v>mind. 25-80/180, besser nach Druckverlustrechnung; ca. 3,1 m³/h</x:v>
      </x:c>
      <x:c r="H7" s="18" t="str">
        <x:v>Eigenständige Förderpumpe für WP1, weil WP laut Lastenheft keine integrierte Pumpe hat</x:v>
      </x:c>
      <x:c r="I7" s="18" t="str">
        <x:v>https://chm-pumpen.de/Heizungspumpe-Auto-25-80-180/248</x:v>
      </x:c>
      <x:c r="J7" s="18" t="n">
        <x:v>91</x:v>
      </x:c>
      <x:c r="K7" s="18" t="n">
        <x:f>IF(OR(F7="",J7=""),"",F7*J7)</x:f>
        <x:v>91</x:v>
      </x:c>
      <x:c r="L7" s="18" t="str">
        <x:v>hoch</x:v>
      </x:c>
      <x:c r="M7" s="18" t="str">
        <x:v>Billigpumpe als Sparvariante; Premiumvergleich Grundfos 32-80 separat prüfen</x:v>
      </x:c>
    </x:row>
    <x:row r="8">
      <x:c r="A8" s="18" t="str">
        <x:v>WP-007</x:v>
      </x:c>
      <x:c r="B8" s="18" t="str">
        <x:v>WP-Seite außen</x:v>
      </x:c>
      <x:c r="C8" s="18" t="str">
        <x:v>WP2 Vorlauf/Rücklauf-Einbindung vor WP-Sammelschiene</x:v>
      </x:c>
      <x:c r="D8" s="18" t="str">
        <x:v>WP2-Umwälzpumpe</x:v>
      </x:c>
      <x:c r="E8" s="18" t="str">
        <x:v>Neu</x:v>
      </x:c>
      <x:c r="F8" s="18" t="n">
        <x:v>1</x:v>
      </x:c>
      <x:c r="G8" s="18" t="str">
        <x:v>mind. 25-80/180, besser nach Druckverlustrechnung; ca. 3,1 m³/h</x:v>
      </x:c>
      <x:c r="H8" s="18" t="str">
        <x:v>Eigenständige Förderpumpe für WP2</x:v>
      </x:c>
      <x:c r="I8" s="18" t="str">
        <x:v>https://chm-pumpen.de/Heizungspumpe-Auto-25-80-180/248</x:v>
      </x:c>
      <x:c r="J8" s="18" t="n">
        <x:v>91</x:v>
      </x:c>
      <x:c r="K8" s="18" t="n">
        <x:f>IF(OR(F8="",J8=""),"",F8*J8)</x:f>
        <x:v>91</x:v>
      </x:c>
      <x:c r="L8" s="18" t="str">
        <x:v>hoch</x:v>
      </x:c>
      <x:c r="M8" s="18" t="str">
        <x:v>Wenn 63er langer Strang und viele Bögen: ggf. 32-80 wählen</x:v>
      </x:c>
    </x:row>
    <x:row r="9">
      <x:c r="A9" s="18" t="str">
        <x:v>WP-008</x:v>
      </x:c>
      <x:c r="B9" s="18" t="str">
        <x:v>WP-Seite außen</x:v>
      </x:c>
      <x:c r="C9" s="18" t="str">
        <x:v>Direkt hinter WP1-Pumpe Richtung Sammelschiene</x:v>
      </x:c>
      <x:c r="D9" s="18" t="str">
        <x:v>Rückschlagventil</x:v>
      </x:c>
      <x:c r="E9" s="18" t="str">
        <x:v>Neu</x:v>
      </x:c>
      <x:c r="F9" s="18" t="n">
        <x:v>1</x:v>
      </x:c>
      <x:c r="G9" s="18" t="str">
        <x:v>1" oder passend zur Pumpenverschraubung</x:v>
      </x:c>
      <x:c r="H9" s="18" t="str">
        <x:v>Verhindert Rückströmung durch stehende WP1</x:v>
      </x:c>
      <x:c r="I9" s="18" t="str">
        <x:v>https://www.amazon.de/s?k=r%C3%BCckschlagventil+1+zoll+heizung</x:v>
      </x:c>
      <x:c r="J9" s="18" t="n">
        <x:v>15</x:v>
      </x:c>
      <x:c r="K9" s="18" t="n">
        <x:f>IF(OR(F9="",J9=""),"",F9*J9)</x:f>
        <x:v>15</x:v>
      </x:c>
      <x:c r="L9" s="18" t="str">
        <x:v>hoch</x:v>
      </x:c>
      <x:c r="M9" s="18" t="str">
        <x:v>Strömungsrichtung eindeutig markieren</x:v>
      </x:c>
    </x:row>
    <x:row r="10">
      <x:c r="A10" s="18" t="str">
        <x:v>WP-009</x:v>
      </x:c>
      <x:c r="B10" s="18" t="str">
        <x:v>WP-Seite außen</x:v>
      </x:c>
      <x:c r="C10" s="18" t="str">
        <x:v>Direkt hinter WP2-Pumpe Richtung Sammelschiene</x:v>
      </x:c>
      <x:c r="D10" s="18" t="str">
        <x:v>Rückschlagventil</x:v>
      </x:c>
      <x:c r="E10" s="18" t="str">
        <x:v>Neu</x:v>
      </x:c>
      <x:c r="F10" s="18" t="n">
        <x:v>1</x:v>
      </x:c>
      <x:c r="G10" s="18" t="str">
        <x:v>1" oder passend zur Pumpenverschraubung</x:v>
      </x:c>
      <x:c r="H10" s="18" t="str">
        <x:v>Verhindert Rückströmung durch stehende WP2</x:v>
      </x:c>
      <x:c r="I10" s="18" t="str">
        <x:v>https://www.amazon.de/s?k=r%C3%BCckschlagventil+1+zoll+heizung</x:v>
      </x:c>
      <x:c r="J10" s="18" t="n">
        <x:v>15</x:v>
      </x:c>
      <x:c r="K10" s="18" t="n">
        <x:f>IF(OR(F10="",J10=""),"",F10*J10)</x:f>
        <x:v>15</x:v>
      </x:c>
      <x:c r="L10" s="18" t="str">
        <x:v>hoch</x:v>
      </x:c>
      <x:c r="M10" s="18" t="str">
        <x:v>Federbelastet mit geringem Öffnungsdruck bevorzugt</x:v>
      </x:c>
    </x:row>
    <x:row r="11">
      <x:c r="A11" s="18" t="str">
        <x:v>WP-010</x:v>
      </x:c>
      <x:c r="B11" s="18" t="str">
        <x:v>WP-Seite außen</x:v>
      </x:c>
      <x:c r="C11" s="18" t="str">
        <x:v>WP1 zwischen Pumpe/Rückschlag und WP-Sammelschiene</x:v>
      </x:c>
      <x:c r="D11" s="18" t="str">
        <x:v>Motorisches Zonenventil oder 3WV WP1</x:v>
      </x:c>
      <x:c r="E11" s="18" t="str">
        <x:v>Neu</x:v>
      </x:c>
      <x:c r="F11" s="18" t="n">
        <x:v>1</x:v>
      </x:c>
      <x:c r="G11" s="18" t="str">
        <x:v>1" bis 1¼", 230 V oder 24 V, Auf/Zu</x:v>
      </x:c>
      <x:c r="H11" s="18" t="str">
        <x:v>WP1 hydraulisch in Sammelkreis ein-/auskoppeln für Alternation/Parallelbetrieb</x:v>
      </x:c>
      <x:c r="I11" s="18" t="str">
        <x:v>https://www.idealo.de/preisvergleich/Liste/116030402/2-wege-motorkugelhahn-230v.html</x:v>
      </x:c>
      <x:c r="J11" s="18" t="n">
        <x:v>38</x:v>
      </x:c>
      <x:c r="K11" s="18" t="n">
        <x:f>IF(OR(F11="",J11=""),"",F11*J11)</x:f>
        <x:v>38</x:v>
      </x:c>
      <x:c r="L11" s="18" t="str">
        <x:v>hoch</x:v>
      </x:c>
      <x:c r="M11" s="18" t="str">
        <x:v>2WV reicht meist; echtes 3WV nur nötig, wenn Bypass/Umlenkung geplant</x:v>
      </x:c>
    </x:row>
    <x:row r="12">
      <x:c r="A12" s="18" t="str">
        <x:v>WP-011</x:v>
      </x:c>
      <x:c r="B12" s="18" t="str">
        <x:v>WP-Seite außen</x:v>
      </x:c>
      <x:c r="C12" s="18" t="str">
        <x:v>WP2 zwischen Pumpe/Rückschlag und WP-Sammelschiene</x:v>
      </x:c>
      <x:c r="D12" s="18" t="str">
        <x:v>Motorisches Zonenventil oder 3WV WP2</x:v>
      </x:c>
      <x:c r="E12" s="18" t="str">
        <x:v>Neu</x:v>
      </x:c>
      <x:c r="F12" s="18" t="n">
        <x:v>1</x:v>
      </x:c>
      <x:c r="G12" s="18" t="str">
        <x:v>1" bis 1¼", 230 V oder 24 V, Auf/Zu</x:v>
      </x:c>
      <x:c r="H12" s="18" t="str">
        <x:v>WP2 hydraulisch in Sammelkreis ein-/auskoppeln</x:v>
      </x:c>
      <x:c r="I12" s="18" t="str">
        <x:v>https://www.idealo.de/preisvergleich/Liste/116030402/2-wege-motorkugelhahn-230v.html</x:v>
      </x:c>
      <x:c r="J12" s="18" t="n">
        <x:v>38</x:v>
      </x:c>
      <x:c r="K12" s="18" t="n">
        <x:f>IF(OR(F12="",J12=""),"",F12*J12)</x:f>
        <x:v>38</x:v>
      </x:c>
      <x:c r="L12" s="18" t="str">
        <x:v>hoch</x:v>
      </x:c>
      <x:c r="M12" s="18" t="str">
        <x:v>Stellzeit/Fail-Position beachten</x:v>
      </x:c>
    </x:row>
    <x:row r="13">
      <x:c r="A13" s="18" t="str">
        <x:v>WP-012</x:v>
      </x:c>
      <x:c r="B13" s="18" t="str">
        <x:v>WP-Seite außen</x:v>
      </x:c>
      <x:c r="C13" s="18" t="str">
        <x:v>WP1/WP2 bis WP-Sammelschiene</x:v>
      </x:c>
      <x:c r="D13" s="18" t="str">
        <x:v>PP-RCT Heizungsrohr</x:v>
      </x:c>
      <x:c r="E13" s="18" t="str">
        <x:v>Neu</x:v>
      </x:c>
      <x:c r="F13" s="18" t="n">
        <x:v>20</x:v>
      </x:c>
      <x:c r="G13" s="18" t="str">
        <x:v>50 mm, sauerstoffdicht DIN 4726, Stabi/Alu/Faser</x:v>
      </x:c>
      <x:c r="H13" s="18" t="str">
        <x:v>Kurze großdimensionierte Anbindung beider Wärmepumpen an WP-Sammelschiene</x:v>
      </x:c>
      <x:c r="I13" s="18" t="str">
        <x:v>https://www.kwerk.de/rohrsysteme/pp-rct-rohrsysteme/pp-rct-rohre/rohre-mehrlagig/stabitec-ct/pp-rct-alu-druckrohr-stabitec-ct-20mpa-gruen/</x:v>
      </x:c>
      <x:c r="J13" s="18" t="n">
        <x:v>8</x:v>
      </x:c>
      <x:c r="K13" s="18" t="n">
        <x:f>IF(OR(F13="",J13=""),"",F13*J13)</x:f>
        <x:v>160</x:v>
      </x:c>
      <x:c r="L13" s="18" t="str">
        <x:v>hoch</x:v>
      </x:c>
      <x:c r="M13" s="18" t="str">
        <x:v>Nur heizungsgeeignet und sauerstoffdicht; Menge Meter grob</x:v>
      </x:c>
    </x:row>
    <x:row r="14">
      <x:c r="A14" s="18" t="str">
        <x:v>WP-013</x:v>
      </x:c>
      <x:c r="B14" s="18" t="str">
        <x:v>WP-Seite außen</x:v>
      </x:c>
      <x:c r="C14" s="18" t="str">
        <x:v>Sammelleitung WP-Sammelschiene → Heizungsraum über First</x:v>
      </x:c>
      <x:c r="D14" s="18" t="str">
        <x:v>PP-RCT Heizungsrohr Sparvariante</x:v>
      </x:c>
      <x:c r="E14" s="18" t="str">
        <x:v>Neu</x:v>
      </x:c>
      <x:c r="F14" s="18" t="n">
        <x:v>50</x:v>
      </x:c>
      <x:c r="G14" s="18" t="str">
        <x:v>63 mm, sauerstoffdicht DIN 4726, Stabi/Alu/Faser</x:v>
      </x:c>
      <x:c r="H14" s="18" t="str">
        <x:v>Gemeinsamer VL/RL über Dach/First in Heizungsraum</x:v>
      </x:c>
      <x:c r="I14" s="18" t="str">
        <x:v>https://www.kwerk.de/rohrsysteme/pp-rct-rohrsysteme/pp-rct-rohre/rohre-mehrlagig/stabitec-ct/pp-rct-alu-druckrohr-stabitec-ct-20mpa-gruen/</x:v>
      </x:c>
      <x:c r="J14" s="18" t="n">
        <x:v>12</x:v>
      </x:c>
      <x:c r="K14" s="18" t="n">
        <x:f>IF(OR(F14="",J14=""),"",F14*J14)</x:f>
        <x:v>600</x:v>
      </x:c>
      <x:c r="L14" s="18" t="str">
        <x:v>hoch</x:v>
      </x:c>
      <x:c r="M14" s="18" t="str">
        <x:v>63 mm ist Material-/Werkzeug-Sparvariante; 75 mm hydraulisch besser</x:v>
      </x:c>
    </x:row>
    <x:row r="15">
      <x:c r="A15" s="18" t="str">
        <x:v>WP-014</x:v>
      </x:c>
      <x:c r="B15" s="18" t="str">
        <x:v>WP-Seite außen</x:v>
      </x:c>
      <x:c r="C15" s="18" t="str">
        <x:v>Alternative zur 63er Sammelleitung</x:v>
      </x:c>
      <x:c r="D15" s="18" t="str">
        <x:v>PP-RCT Heizungsrohr Komfortvariante</x:v>
      </x:c>
      <x:c r="E15" s="18" t="str">
        <x:v>Optional</x:v>
      </x:c>
      <x:c r="F15" s="18" t="n">
        <x:v>50</x:v>
      </x:c>
      <x:c r="G15" s="18" t="str">
        <x:v>75 mm, sauerstoffdicht DIN 4726</x:v>
      </x:c>
      <x:c r="H15" s="18" t="str">
        <x:v>Hydraulisch bessere gemeinsame Sammelleitung</x:v>
      </x:c>
      <x:c r="I15" s="18" t="str">
        <x:v>https://www.rohrleitungssysteme.de/pp-r-rohrsysteme/index.php?zurueck=1</x:v>
      </x:c>
      <x:c r="J15" s="18" t="n">
        <x:v>18</x:v>
      </x:c>
      <x:c r="K15" s="18" t="n">
        <x:f>IF(OR(F15="",J15=""),"",F15*J15)</x:f>
        <x:v>900</x:v>
      </x:c>
      <x:c r="L15" s="18" t="str">
        <x:v>mittel</x:v>
      </x:c>
      <x:c r="M15" s="18" t="str">
        <x:v>Nur wenn Werkzeug/Fittings bezahlbar verfügbar</x:v>
      </x:c>
    </x:row>
    <x:row r="16">
      <x:c r="A16" s="18" t="str">
        <x:v>WP-015</x:v>
      </x:c>
      <x:c r="B16" s="18" t="str">
        <x:v>Werkzeug</x:v>
      </x:c>
      <x:c r="C16" s="18" t="str">
        <x:v>Für PP-RCT 40/50/63 mm</x:v>
      </x:c>
      <x:c r="D16" s="18" t="str">
        <x:v>Muffenschweißgerät</x:v>
      </x:c>
      <x:c r="E16" s="18" t="str">
        <x:v>Neu</x:v>
      </x:c>
      <x:c r="F16" s="18" t="n">
        <x:v>1</x:v>
      </x:c>
      <x:c r="G16" s="18" t="str">
        <x:v>bis 63 mm, passende Muffen</x:v>
      </x:c>
      <x:c r="H16" s="18" t="str">
        <x:v>Werkzeug zum Verarbeiten von PP-R/PP-RCT</x:v>
      </x:c>
      <x:c r="I16" s="18" t="str">
        <x:v>https://www.amazon.de/s?k=muffenschwei%C3%9Fger%C3%A4t+63mm+ppr</x:v>
      </x:c>
      <x:c r="J16" s="18" t="n">
        <x:v>60</x:v>
      </x:c>
      <x:c r="K16" s="18" t="n">
        <x:f>IF(OR(F16="",J16=""),"",F16*J16)</x:f>
        <x:v>60</x:v>
      </x:c>
      <x:c r="L16" s="18" t="str">
        <x:v>hoch</x:v>
      </x:c>
      <x:c r="M16" s="18" t="str">
        <x:v>Bei Alu-Stabi zusätzlich Schälgerät nötig; Probeschweißungen machen</x:v>
      </x:c>
    </x:row>
    <x:row r="17">
      <x:c r="A17" s="18" t="str">
        <x:v>WP-016</x:v>
      </x:c>
      <x:c r="B17" s="18" t="str">
        <x:v>Werkzeug</x:v>
      </x:c>
      <x:c r="C17" s="18" t="str">
        <x:v>Für PP-RCT Alu-Stabi Rohr</x:v>
      </x:c>
      <x:c r="D17" s="18" t="str">
        <x:v>Schälgerät / Rohrschäler</x:v>
      </x:c>
      <x:c r="E17" s="18" t="str">
        <x:v>Neu</x:v>
      </x:c>
      <x:c r="F17" s="18" t="n">
        <x:v>1</x:v>
      </x:c>
      <x:c r="G17" s="18" t="str">
        <x:v>40/50/63 mm passend zum Rohrsystem</x:v>
      </x:c>
      <x:c r="H17" s="18" t="str">
        <x:v>Entfernt Aluschicht vor Schweißung bei Stabi-Rohr</x:v>
      </x:c>
      <x:c r="I17" s="18" t="str">
        <x:v>https://www.rohrleitungssysteme.de/pp-r-rohrsysteme/index.php?zurueck=1</x:v>
      </x:c>
      <x:c r="J17" s="18" t="n">
        <x:v>80</x:v>
      </x:c>
      <x:c r="K17" s="18" t="n">
        <x:f>IF(OR(F17="",J17=""),"",F17*J17)</x:f>
        <x:v>80</x:v>
      </x:c>
      <x:c r="L17" s="18" t="str">
        <x:v>hoch</x:v>
      </x:c>
      <x:c r="M17" s="18" t="str">
        <x:v>Systemgebunden; beim Rohrhändler passend mitbestellen</x:v>
      </x:c>
    </x:row>
    <x:row r="18">
      <x:c r="A18" s="18" t="str">
        <x:v>WP-017</x:v>
      </x:c>
      <x:c r="B18" s="18" t="str">
        <x:v>WP-Sammelschiene außen</x:v>
      </x:c>
      <x:c r="C18" s="18" t="str">
        <x:v>An Sammel-VL und Sammel-RL</x:v>
      </x:c>
      <x:c r="D18" s="18" t="str">
        <x:v>Temperaturfühler Anlegefühler</x:v>
      </x:c>
      <x:c r="E18" s="18" t="str">
        <x:v>Neu</x:v>
      </x:c>
      <x:c r="F18" s="18" t="n">
        <x:v>2</x:v>
      </x:c>
      <x:c r="G18" s="18" t="str">
        <x:v>PT1000, Anlegefühler</x:v>
      </x:c>
      <x:c r="H18" s="18" t="str">
        <x:v>Messung WP-Sammel-VL/RL für Steuerung</x:v>
      </x:c>
      <x:c r="I18" s="18" t="str">
        <x:v>https://www.amazon.de/s?k=pt1000+anlegef%C3%BChler+heizung</x:v>
      </x:c>
      <x:c r="J18" s="18" t="n">
        <x:v>15</x:v>
      </x:c>
      <x:c r="K18" s="18" t="n">
        <x:f>IF(OR(F18="",J18=""),"",F18*J18)</x:f>
        <x:v>30</x:v>
      </x:c>
      <x:c r="L18" s="18" t="str">
        <x:v>hoch</x:v>
      </x:c>
      <x:c r="M18" s="18" t="str">
        <x:v>An Rohr gut wärmeleitend befestigen und dämmen</x:v>
      </x:c>
    </x:row>
    <x:row r="19">
      <x:c r="A19" s="18" t="str">
        <x:v>WP-018</x:v>
      </x:c>
      <x:c r="B19" s="18" t="str">
        <x:v>WP-Sammelschiene außen</x:v>
      </x:c>
      <x:c r="C19" s="18" t="str">
        <x:v>Tiefpunkt WP-Sammelschiene VL/RL</x:v>
      </x:c>
      <x:c r="D19" s="18" t="str">
        <x:v>KFE-Hahn / Entleerung</x:v>
      </x:c>
      <x:c r="E19" s="18" t="str">
        <x:v>Neu</x:v>
      </x:c>
      <x:c r="F19" s="18" t="n">
        <x:v>2</x:v>
      </x:c>
      <x:c r="G19" s="18" t="str">
        <x:v>1/2" oder 3/4"</x:v>
      </x:c>
      <x:c r="H19" s="18" t="str">
        <x:v>Entleeren/Spülen der WP-Seite</x:v>
      </x:c>
      <x:c r="I19" s="18" t="str">
        <x:v>https://www.amazon.de/s?k=kfe+hahn+1%2F2+heizung</x:v>
      </x:c>
      <x:c r="J19" s="18" t="n">
        <x:v>8</x:v>
      </x:c>
      <x:c r="K19" s="18" t="n">
        <x:f>IF(OR(F19="",J19=""),"",F19*J19)</x:f>
        <x:v>16</x:v>
      </x:c>
      <x:c r="L19" s="18" t="str">
        <x:v>mittel</x:v>
      </x:c>
      <x:c r="M19" s="18" t="str">
        <x:v>Mit Schlauchanschluss</x:v>
      </x:c>
    </x:row>
    <x:row r="20">
      <x:c r="A20" s="18" t="str">
        <x:v>WP-019</x:v>
      </x:c>
      <x:c r="B20" s="18" t="str">
        <x:v>Dach/First</x:v>
      </x:c>
      <x:c r="C20" s="18" t="str">
        <x:v>Höchster Punkt der Sammelleitung, Vorlauf</x:v>
      </x:c>
      <x:c r="D20" s="18" t="str">
        <x:v>T-Stück + Kugelhahn + automatischer Entlüfter</x:v>
      </x:c>
      <x:c r="E20" s="18" t="str">
        <x:v>Neu</x:v>
      </x:c>
      <x:c r="F20" s="18" t="n">
        <x:v>1</x:v>
      </x:c>
      <x:c r="G20" s="18" t="str">
        <x:v>passend 63 mm → 1/2" Entlüfter</x:v>
      </x:c>
      <x:c r="H20" s="18" t="str">
        <x:v>Entlüftet Vorlauf am First; Kugelhahn ermöglicht Austausch</x:v>
      </x:c>
      <x:c r="I20" s="18" t="str">
        <x:v>https://www.amazon.de/s?k=automatischer+entl%C3%BCfter+1%2F2+heizung</x:v>
      </x:c>
      <x:c r="J20" s="18" t="n">
        <x:v>18</x:v>
      </x:c>
      <x:c r="K20" s="18" t="n">
        <x:f>IF(OR(F20="",J20=""),"",F20*J20)</x:f>
        <x:v>18</x:v>
      </x:c>
      <x:c r="L20" s="18" t="str">
        <x:v>hoch</x:v>
      </x:c>
      <x:c r="M20" s="18" t="str">
        <x:v>Nicht ohne Absperrhahn montieren</x:v>
      </x:c>
    </x:row>
    <x:row r="21">
      <x:c r="A21" s="18" t="str">
        <x:v>WP-020</x:v>
      </x:c>
      <x:c r="B21" s="18" t="str">
        <x:v>Dach/First</x:v>
      </x:c>
      <x:c r="C21" s="18" t="str">
        <x:v>Höchster Punkt der Sammelleitung, Rücklauf</x:v>
      </x:c>
      <x:c r="D21" s="18" t="str">
        <x:v>T-Stück + Kugelhahn + automatischer Entlüfter</x:v>
      </x:c>
      <x:c r="E21" s="18" t="str">
        <x:v>Neu</x:v>
      </x:c>
      <x:c r="F21" s="18" t="n">
        <x:v>1</x:v>
      </x:c>
      <x:c r="G21" s="18" t="str">
        <x:v>passend 63 mm → 1/2" Entlüfter</x:v>
      </x:c>
      <x:c r="H21" s="18" t="str">
        <x:v>Entlüftet Rücklauf am First</x:v>
      </x:c>
      <x:c r="I21" s="18" t="str">
        <x:v>https://www.amazon.de/s?k=automatischer+entl%C3%BCfter+1%2F2+heizung</x:v>
      </x:c>
      <x:c r="J21" s="18" t="n">
        <x:v>18</x:v>
      </x:c>
      <x:c r="K21" s="18" t="n">
        <x:f>IF(OR(F21="",J21=""),"",F21*J21)</x:f>
        <x:v>18</x:v>
      </x:c>
      <x:c r="L21" s="18" t="str">
        <x:v>hoch</x:v>
      </x:c>
      <x:c r="M21" s="18" t="str">
        <x:v>Zusätzlich manuelle Entlüftung sinnvoll</x:v>
      </x:c>
    </x:row>
    <x:row r="22">
      <x:c r="A22" s="18" t="str">
        <x:v>WP-021</x:v>
      </x:c>
      <x:c r="B22" s="18" t="str">
        <x:v>Dach/First</x:v>
      </x:c>
      <x:c r="C22" s="18" t="str">
        <x:v>Komplette Leitung im Dach/Spitz</x:v>
      </x:c>
      <x:c r="D22" s="18" t="str">
        <x:v>Rohrisolierung</x:v>
      </x:c>
      <x:c r="E22" s="18" t="str">
        <x:v>Neu</x:v>
      </x:c>
      <x:c r="F22" s="18" t="n">
        <x:v>50</x:v>
      </x:c>
      <x:c r="G22" s="18" t="str">
        <x:v>für 63 mm Rohr, dick, wärme-/frostgeeignet</x:v>
      </x:c>
      <x:c r="H22" s="18" t="str">
        <x:v>Reduziert Verluste im Spitz und schützt gegen Kondensat/Frost</x:v>
      </x:c>
      <x:c r="I22" s="18" t="str">
        <x:v>https://www.amazon.de/s?k=rohrisolierung+63mm+heizung</x:v>
      </x:c>
      <x:c r="J22" s="18" t="n">
        <x:v>10</x:v>
      </x:c>
      <x:c r="K22" s="18" t="n">
        <x:f>IF(OR(F22="",J22=""),"",F22*J22)</x:f>
        <x:v>500</x:v>
      </x:c>
      <x:c r="L22" s="18" t="str">
        <x:v>hoch</x:v>
      </x:c>
      <x:c r="M22" s="18" t="str">
        <x:v>Preis pro Meter stark abhängig von Dämmstärke; Außen-/Kaltbereich beachten</x:v>
      </x:c>
    </x:row>
    <x:row r="23">
      <x:c r="A23" s="18" t="str">
        <x:v>HR-001</x:v>
      </x:c>
      <x:c r="B23" s="18" t="str">
        <x:v>Heizungsraum Hauptsammler</x:v>
      </x:c>
      <x:c r="C23" s="18" t="str">
        <x:v>Eintritt Sammelleitung von WP-Seite</x:v>
      </x:c>
      <x:c r="D23" s="18" t="str">
        <x:v>Haupt-VL/RL-Sammler / Verteiler</x:v>
      </x:c>
      <x:c r="E23" s="18" t="str">
        <x:v>Neu</x:v>
      </x:c>
      <x:c r="F23" s="18" t="n">
        <x:v>1</x:v>
      </x:c>
      <x:c r="G23" s="18" t="str">
        <x:v>mind. DN50/63, 4 Abgänge: Ölbrenner, Pool, Nebengebäude, Haupthaus</x:v>
      </x:c>
      <x:c r="H23" s="18" t="str">
        <x:v>Zentraler warmer Sammelpunkt im Heizungsraum</x:v>
      </x:c>
      <x:c r="I23" s="18" t="str">
        <x:v>https://www.amazon.de/s?k=heizungsverteiler+sammelschiene+3+abg%C3%A4nge</x:v>
      </x:c>
      <x:c r="J23" s="18" t="n">
        <x:v>180</x:v>
      </x:c>
      <x:c r="K23" s="18" t="n">
        <x:f>IF(OR(F23="",J23=""),"",F23*J23)</x:f>
        <x:v>180</x:v>
      </x:c>
      <x:c r="L23" s="18" t="str">
        <x:v>hoch</x:v>
      </x:c>
      <x:c r="M23" s="18" t="str">
        <x:v>Kann aus PP-RCT-Teilen gebaut werden; alle Abgänge absperrbar</x:v>
      </x:c>
    </x:row>
    <x:row r="24">
      <x:c r="A24" s="18" t="str">
        <x:v>HR-002</x:v>
      </x:c>
      <x:c r="B24" s="18" t="str">
        <x:v>Heizungsraum Hauptsammler</x:v>
      </x:c>
      <x:c r="C24" s="18" t="str">
        <x:v>Haupt-Rücklauf vor WP-Sammelleitung</x:v>
      </x:c>
      <x:c r="D24" s="18" t="str">
        <x:v>Magnetit-/Schlammabscheider</x:v>
      </x:c>
      <x:c r="E24" s="18" t="str">
        <x:v>Neu</x:v>
      </x:c>
      <x:c r="F24" s="18" t="n">
        <x:v>1</x:v>
      </x:c>
      <x:c r="G24" s="18" t="str">
        <x:v>1¼" bis 2", passend zum Hauptvolumenstrom</x:v>
      </x:c>
      <x:c r="H24" s="18" t="str">
        <x:v>Schützt WP, Pumpen und Wärmetauscher vor Magnetit/Schlamm</x:v>
      </x:c>
      <x:c r="I24" s="18" t="str">
        <x:v>https://www.amazon.de/s?k=magnetitabscheider+1+zoll+heizung</x:v>
      </x:c>
      <x:c r="J24" s="18" t="n">
        <x:v>80</x:v>
      </x:c>
      <x:c r="K24" s="18" t="n">
        <x:f>IF(OR(F24="",J24=""),"",F24*J24)</x:f>
        <x:v>80</x:v>
      </x:c>
      <x:c r="L24" s="18" t="str">
        <x:v>hoch</x:v>
      </x:c>
      <x:c r="M24" s="18" t="str">
        <x:v>Nicht zu klein wählen; Spülmöglichkeit nach unten</x:v>
      </x:c>
    </x:row>
    <x:row r="25">
      <x:c r="A25" s="18" t="str">
        <x:v>HR-003</x:v>
      </x:c>
      <x:c r="B25" s="18" t="str">
        <x:v>Heizungsraum Hauptsammler</x:v>
      </x:c>
      <x:c r="C25" s="18" t="str">
        <x:v>Hauptsammler oben</x:v>
      </x:c>
      <x:c r="D25" s="18" t="str">
        <x:v>Automatischer Entlüfter mit Absperrung</x:v>
      </x:c>
      <x:c r="E25" s="18" t="str">
        <x:v>Neu</x:v>
      </x:c>
      <x:c r="F25" s="18" t="n">
        <x:v>1</x:v>
      </x:c>
      <x:c r="G25" s="18" t="str">
        <x:v>1/2"</x:v>
      </x:c>
      <x:c r="H25" s="18" t="str">
        <x:v>Entlüftung am höchsten Punkt im Heizungsraum</x:v>
      </x:c>
      <x:c r="I25" s="18" t="str">
        <x:v>https://www.amazon.de/s?k=automatischer+entl%C3%BCfter+1%2F2+heizung</x:v>
      </x:c>
      <x:c r="J25" s="18" t="n">
        <x:v>15</x:v>
      </x:c>
      <x:c r="K25" s="18" t="n">
        <x:f>IF(OR(F25="",J25=""),"",F25*J25)</x:f>
        <x:v>15</x:v>
      </x:c>
      <x:c r="L25" s="18" t="str">
        <x:v>mittel</x:v>
      </x:c>
      <x:c r="M25" s="18" t="str">
        <x:v>Bei Dach-First-Entlüftern trotzdem sinnvoll</x:v>
      </x:c>
    </x:row>
    <x:row r="26">
      <x:c r="A26" s="18" t="str">
        <x:v>HR-004</x:v>
      </x:c>
      <x:c r="B26" s="18" t="str">
        <x:v>Heizungsraum Hauptsammler</x:v>
      </x:c>
      <x:c r="C26" s="18" t="str">
        <x:v>Hauptsammler / Sicherheitsgruppe</x:v>
      </x:c>
      <x:c r="D26" s="18" t="str">
        <x:v>Sicherheitsgruppe Heizung</x:v>
      </x:c>
      <x:c r="E26" s="18" t="str">
        <x:v>Neu</x:v>
      </x:c>
      <x:c r="F26" s="18" t="n">
        <x:v>1</x:v>
      </x:c>
      <x:c r="G26" s="18" t="str">
        <x:v>3 bar, Manometer, Sicherheitsventil</x:v>
      </x:c>
      <x:c r="H26" s="18" t="str">
        <x:v>Sicherheitsausrüstung des Heizkreises</x:v>
      </x:c>
      <x:c r="I26" s="18" t="str">
        <x:v>https://www.amazon.de/s?k=sicherheitsgruppe+heizung+3+bar</x:v>
      </x:c>
      <x:c r="J26" s="18" t="n">
        <x:v>35</x:v>
      </x:c>
      <x:c r="K26" s="18" t="n">
        <x:f>IF(OR(F26="",J26=""),"",F26*J26)</x:f>
        <x:v>35</x:v>
      </x:c>
      <x:c r="L26" s="18" t="str">
        <x:v>hoch</x:v>
      </x:c>
      <x:c r="M26" s="18" t="str">
        <x:v>Bestehendes MAG bleibt, Größe/Einstellung prüfen</x:v>
      </x:c>
    </x:row>
    <x:row r="27">
      <x:c r="A27" s="18" t="str">
        <x:v>HR-005</x:v>
      </x:c>
      <x:c r="B27" s="18" t="str">
        <x:v>Heizungsraum Hauptsammler</x:v>
      </x:c>
      <x:c r="C27" s="18" t="str">
        <x:v>Rücklauf / Füllpunkt</x:v>
      </x:c>
      <x:c r="D27" s="18" t="str">
        <x:v>Füll-/Spülarmatur</x:v>
      </x:c>
      <x:c r="E27" s="18" t="str">
        <x:v>Neu</x:v>
      </x:c>
      <x:c r="F27" s="18" t="n">
        <x:v>1</x:v>
      </x:c>
      <x:c r="G27" s="18" t="str">
        <x:v>KFE / Systemtrenner nach Bedarf</x:v>
      </x:c>
      <x:c r="H27" s="18" t="str">
        <x:v>Befüllen, Spülen, Nachfüllen der Heizungsanlage</x:v>
      </x:c>
      <x:c r="I27" s="18" t="str">
        <x:v>https://www.amazon.de/s?k=heizung+f%C3%BCll+sp%C3%BCl+armatur</x:v>
      </x:c>
      <x:c r="J27" s="18" t="n">
        <x:v>35</x:v>
      </x:c>
      <x:c r="K27" s="18" t="n">
        <x:f>IF(OR(F27="",J27=""),"",F27*J27)</x:f>
        <x:v>35</x:v>
      </x:c>
      <x:c r="L27" s="18" t="str">
        <x:v>mittel</x:v>
      </x:c>
      <x:c r="M27" s="18" t="str">
        <x:v>Trinkwasser-Nachspeisung fachgerecht mit Systemtrenner</x:v>
      </x:c>
    </x:row>
    <x:row r="28">
      <x:c r="A28" s="18" t="str">
        <x:v>HR-006</x:v>
      </x:c>
      <x:c r="B28" s="18" t="str">
        <x:v>Heizungsraum Hauptsammler</x:v>
      </x:c>
      <x:c r="C28" s="18" t="str">
        <x:v>Tiefpunkt Hauptsammler</x:v>
      </x:c>
      <x:c r="D28" s="18" t="str">
        <x:v>KFE-Hahn / Entleerung</x:v>
      </x:c>
      <x:c r="E28" s="18" t="str">
        <x:v>Neu</x:v>
      </x:c>
      <x:c r="F28" s="18" t="n">
        <x:v>2</x:v>
      </x:c>
      <x:c r="G28" s="18" t="str">
        <x:v>1/2" oder 3/4"</x:v>
      </x:c>
      <x:c r="H28" s="18" t="str">
        <x:v>Entleerung VL/RL Heizungsraum</x:v>
      </x:c>
      <x:c r="I28" s="18" t="str">
        <x:v>https://www.amazon.de/s?k=kfe+hahn+1%2F2+heizung</x:v>
      </x:c>
      <x:c r="J28" s="18" t="n">
        <x:v>8</x:v>
      </x:c>
      <x:c r="K28" s="18" t="n">
        <x:f>IF(OR(F28="",J28=""),"",F28*J28)</x:f>
        <x:v>16</x:v>
      </x:c>
      <x:c r="L28" s="18" t="str">
        <x:v>mittel</x:v>
      </x:c>
      <x:c r="M28" s="18" t="str">
        <x:v>Je tiefem Punkt</x:v>
      </x:c>
    </x:row>
    <x:row r="29">
      <x:c r="A29" s="18" t="str">
        <x:v>HR-007</x:v>
      </x:c>
      <x:c r="B29" s="18" t="str">
        <x:v>Heizungsraum Hauptsammler</x:v>
      </x:c>
      <x:c r="C29" s="18" t="str">
        <x:v>Gesamt-VL/RL Heizungsraum</x:v>
      </x:c>
      <x:c r="D29" s="18" t="str">
        <x:v>Temperaturfühler</x:v>
      </x:c>
      <x:c r="E29" s="18" t="str">
        <x:v>Neu</x:v>
      </x:c>
      <x:c r="F29" s="18" t="n">
        <x:v>2</x:v>
      </x:c>
      <x:c r="G29" s="18" t="str">
        <x:v>PT1000 Anlegefühler</x:v>
      </x:c>
      <x:c r="H29" s="18" t="str">
        <x:v>Messung Gesamt-VL/RL für Steuerung</x:v>
      </x:c>
      <x:c r="I29" s="18" t="str">
        <x:v>https://www.amazon.de/s?k=pt1000+anlegef%C3%BChler+heizung</x:v>
      </x:c>
      <x:c r="J29" s="18" t="n">
        <x:v>15</x:v>
      </x:c>
      <x:c r="K29" s="18" t="n">
        <x:f>IF(OR(F29="",J29=""),"",F29*J29)</x:f>
        <x:v>30</x:v>
      </x:c>
      <x:c r="L29" s="18" t="str">
        <x:v>hoch</x:v>
      </x:c>
      <x:c r="M29" s="18" t="str">
        <x:v>Fühler gut dämmen</x:v>
      </x:c>
    </x:row>
    <x:row r="30">
      <x:c r="A30" s="18" t="str">
        <x:v>HR-008</x:v>
      </x:c>
      <x:c r="B30" s="18" t="str">
        <x:v>Heizungsraum Ölbrenner</x:v>
      </x:c>
      <x:c r="C30" s="18" t="str">
        <x:v>Abgang Ölbrenner vom Hauptsammler</x:v>
      </x:c>
      <x:c r="D30" s="18" t="str">
        <x:v>Ölbrenner-Einbindung mit Absperrungen/RV</x:v>
      </x:c>
      <x:c r="E30" s="18" t="str">
        <x:v>Neu/Prüfen</x:v>
      </x:c>
      <x:c r="F30" s="18" t="n">
        <x:v>1</x:v>
      </x:c>
      <x:c r="G30" s="18" t="str">
        <x:v>Kugelhähne + Rückschlag + vorhandene Kesselpumpe prüfen</x:v>
      </x:c>
      <x:c r="H30" s="18" t="str">
        <x:v>Übergangsquelle im Heizungsraum</x:v>
      </x:c>
      <x:c r="I30" s="18" t="str">
        <x:v>https://www.amazon.de/s?k=kugelhahn+1+zoll+heizung</x:v>
      </x:c>
      <x:c r="J30" s="18" t="n">
        <x:v>60</x:v>
      </x:c>
      <x:c r="K30" s="18" t="n">
        <x:f>IF(OR(F30="",J30=""),"",F30*J30)</x:f>
        <x:v>60</x:v>
      </x:c>
      <x:c r="L30" s="18" t="str">
        <x:v>mittel</x:v>
      </x:c>
      <x:c r="M30" s="18" t="str">
        <x:v>Ölbrenner selbst bleibt; Pumpenzustand prüfen</x:v>
      </x:c>
    </x:row>
    <x:row r="31">
      <x:c r="A31" s="18" t="str">
        <x:v>HR-009</x:v>
      </x:c>
      <x:c r="B31" s="18" t="str">
        <x:v>Heizungsraum Haupthausabgang</x:v>
      </x:c>
      <x:c r="C31" s="18" t="str">
        <x:v>Abgang Haupthaus unterhalb Hauptsammler vor Bestandsleitung</x:v>
      </x:c>
      <x:c r="D31" s="18" t="str">
        <x:v>Kugelhahn VL/RL Haupthaus</x:v>
      </x:c>
      <x:c r="E31" s="18" t="str">
        <x:v>Neu</x:v>
      </x:c>
      <x:c r="F31" s="18" t="n">
        <x:v>2</x:v>
      </x:c>
      <x:c r="G31" s="18" t="str">
        <x:v>passend zur Leitung, 1"/DN25 oder Übergang</x:v>
      </x:c>
      <x:c r="H31" s="18" t="str">
        <x:v>Haupthausleitung absperrbar machen</x:v>
      </x:c>
      <x:c r="I31" s="18" t="str">
        <x:v>https://www.amazon.de/s?k=kugelhahn+1+zoll+heizung</x:v>
      </x:c>
      <x:c r="J31" s="18" t="n">
        <x:v>12</x:v>
      </x:c>
      <x:c r="K31" s="18" t="n">
        <x:f>IF(OR(F31="",J31=""),"",F31*J31)</x:f>
        <x:v>24</x:v>
      </x:c>
      <x:c r="L31" s="18" t="str">
        <x:v>hoch</x:v>
      </x:c>
      <x:c r="M31" s="18" t="str">
        <x:v>Direkt am Sammler</x:v>
      </x:c>
    </x:row>
    <x:row r="32">
      <x:c r="A32" s="18" t="str">
        <x:v>HR-010</x:v>
      </x:c>
      <x:c r="B32" s="18" t="str">
        <x:v>Heizungsraum Haupthausabgang</x:v>
      </x:c>
      <x:c r="C32" s="18" t="str">
        <x:v>Abgang Haupthaus vor vorhandener Leitung</x:v>
      </x:c>
      <x:c r="D32" s="18" t="str">
        <x:v>Haupthaus-Strangpumpe</x:v>
      </x:c>
      <x:c r="E32" s="18" t="str">
        <x:v>Prüfen/Optional</x:v>
      </x:c>
      <x:c r="F32" s="18" t="n">
        <x:v>1</x:v>
      </x:c>
      <x:c r="G32" s="18" t="str">
        <x:v>25-60/180 oder 25-80/180 je nach Bestandsleitung</x:v>
      </x:c>
      <x:c r="H32" s="18" t="str">
        <x:v>Fördert nur Haupthaus, falls vorhandene Pumpen nicht ausreichend ziehen</x:v>
      </x:c>
      <x:c r="I32" s="18" t="str">
        <x:v>https://chm-pumpen.de/Heizungspumpe-Auto-25-80-180/248</x:v>
      </x:c>
      <x:c r="J32" s="18" t="n">
        <x:v>91</x:v>
      </x:c>
      <x:c r="K32" s="18" t="n">
        <x:f>IF(OR(F32="",J32=""),"",F32*J32)</x:f>
        <x:v>91</x:v>
      </x:c>
      <x:c r="L32" s="18" t="str">
        <x:v>mittel</x:v>
      </x:c>
      <x:c r="M32" s="18" t="str">
        <x:v>Wenn FBH/Radiatorpumpen schon saugen, ggf. nicht nötig</x:v>
      </x:c>
    </x:row>
    <x:row r="33">
      <x:c r="A33" s="18" t="str">
        <x:v>HR-011</x:v>
      </x:c>
      <x:c r="B33" s="18" t="str">
        <x:v>Heizungsraum Haupthausabgang</x:v>
      </x:c>
      <x:c r="C33" s="18" t="str">
        <x:v>Haupthaus-VL/RL vor Bestandsleitung</x:v>
      </x:c>
      <x:c r="D33" s="18" t="str">
        <x:v>Temperaturfühler Haupthaus VL/RL</x:v>
      </x:c>
      <x:c r="E33" s="18" t="str">
        <x:v>Neu</x:v>
      </x:c>
      <x:c r="F33" s="18" t="n">
        <x:v>2</x:v>
      </x:c>
      <x:c r="G33" s="18" t="str">
        <x:v>PT1000</x:v>
      </x:c>
      <x:c r="H33" s="18" t="str">
        <x:v>Leistungs-/Spreizungsüberwachung Haupthaus</x:v>
      </x:c>
      <x:c r="I33" s="18" t="str">
        <x:v>https://www.amazon.de/s?k=pt1000+anlegef%C3%BChler+heizung</x:v>
      </x:c>
      <x:c r="J33" s="18" t="n">
        <x:v>15</x:v>
      </x:c>
      <x:c r="K33" s="18" t="n">
        <x:f>IF(OR(F33="",J33=""),"",F33*J33)</x:f>
        <x:v>30</x:v>
      </x:c>
      <x:c r="L33" s="18" t="str">
        <x:v>hoch</x:v>
      </x:c>
      <x:c r="M33" s="18" t="str">
        <x:v>Hilft zu prüfen, ob alte Leitung reicht</x:v>
      </x:c>
    </x:row>
    <x:row r="34">
      <x:c r="A34" s="18" t="str">
        <x:v>HR-012</x:v>
      </x:c>
      <x:c r="B34" s="18" t="str">
        <x:v>Heizungsraum Haupthausabgang</x:v>
      </x:c>
      <x:c r="C34" s="18" t="str">
        <x:v>Optional in Haupthausstrang</x:v>
      </x:c>
      <x:c r="D34" s="18" t="str">
        <x:v>Wärmemengenzähler / Durchflussmesser</x:v>
      </x:c>
      <x:c r="E34" s="18" t="str">
        <x:v>Optional</x:v>
      </x:c>
      <x:c r="F34" s="18" t="n">
        <x:v>1</x:v>
      </x:c>
      <x:c r="G34" s="18" t="str">
        <x:v>DN25/1", M-Bus/Impuls/Modbus</x:v>
      </x:c>
      <x:c r="H34" s="18" t="str">
        <x:v>Reale kW ins Haupthaus messen</x:v>
      </x:c>
      <x:c r="I34" s="18" t="str">
        <x:v>https://www.amazon.de/s?k=w%C3%A4rmemengenz%C3%A4hler+DN25+M-Bus</x:v>
      </x:c>
      <x:c r="J34" s="18" t="n">
        <x:v>90</x:v>
      </x:c>
      <x:c r="K34" s="18" t="n">
        <x:f>IF(OR(F34="",J34=""),"",F34*J34)</x:f>
        <x:v>90</x:v>
      </x:c>
      <x:c r="L34" s="18" t="str">
        <x:v>niedrig</x:v>
      </x:c>
      <x:c r="M34" s="18" t="str">
        <x:v>Sehr hilfreich für Inbetriebnahme, aber nicht zwingend</x:v>
      </x:c>
    </x:row>
    <x:row r="35">
      <x:c r="A35" s="18" t="str">
        <x:v>POOL-H-001</x:v>
      </x:c>
      <x:c r="B35" s="18" t="str">
        <x:v>Pool Heizungsseite</x:v>
      </x:c>
      <x:c r="C35" s="18" t="str">
        <x:v>Heizungsraum, Abgang Pool vom Hauptsammler</x:v>
      </x:c>
      <x:c r="D35" s="18" t="str">
        <x:v>Motorisches 3WV/Zonenventil Pool</x:v>
      </x:c>
      <x:c r="E35" s="18" t="str">
        <x:v>Neu</x:v>
      </x:c>
      <x:c r="F35" s="18" t="n">
        <x:v>1</x:v>
      </x:c>
      <x:c r="G35" s="18" t="str">
        <x:v>1"–1¼", 230V/24V</x:v>
      </x:c>
      <x:c r="H35" s="18" t="str">
        <x:v>Pool-Heizkreis freigeben/umschalten</x:v>
      </x:c>
      <x:c r="I35" s="18" t="str">
        <x:v>https://www.amazon.de/wege-motorkugelhahn-230v-elektrisch-kugelventil/dp/B07GCGFQ47</x:v>
      </x:c>
      <x:c r="J35" s="18" t="n">
        <x:v>42</x:v>
      </x:c>
      <x:c r="K35" s="18" t="n">
        <x:f>IF(OR(F35="",J35=""),"",F35*J35)</x:f>
        <x:v>42</x:v>
      </x:c>
      <x:c r="L35" s="18" t="str">
        <x:v>hoch</x:v>
      </x:c>
      <x:c r="M35" s="18" t="str">
        <x:v>Bei nur Ein/Aus reicht 2WV; 3WV für Bypass/Regelung</x:v>
      </x:c>
    </x:row>
    <x:row r="36">
      <x:c r="A36" s="18" t="str">
        <x:v>POOL-H-002</x:v>
      </x:c>
      <x:c r="B36" s="18" t="str">
        <x:v>Pool Heizungsseite</x:v>
      </x:c>
      <x:c r="C36" s="18" t="str">
        <x:v>Nach Pool-Ventil vor Pool-WT</x:v>
      </x:c>
      <x:c r="D36" s="18" t="str">
        <x:v>Pumpe Pool-Heizkreis</x:v>
      </x:c>
      <x:c r="E36" s="18" t="str">
        <x:v>Neu</x:v>
      </x:c>
      <x:c r="F36" s="18" t="n">
        <x:v>1</x:v>
      </x:c>
      <x:c r="G36" s="18" t="str">
        <x:v>25-60/180 oder 25-80/180</x:v>
      </x:c>
      <x:c r="H36" s="18" t="str">
        <x:v>Fördert Heizungswasser durch Pool-WT</x:v>
      </x:c>
      <x:c r="I36" s="18" t="str">
        <x:v>https://chm-pumpen.de/Heizungspumpe-Auto-25-80-180/248</x:v>
      </x:c>
      <x:c r="J36" s="18" t="n">
        <x:v>91</x:v>
      </x:c>
      <x:c r="K36" s="18" t="n">
        <x:f>IF(OR(F36="",J36=""),"",F36*J36)</x:f>
        <x:v>91</x:v>
      </x:c>
      <x:c r="L36" s="18" t="str">
        <x:v>hoch</x:v>
      </x:c>
      <x:c r="M36" s="18" t="str">
        <x:v>Volumenstrom nach WT-Datenblatt wählen</x:v>
      </x:c>
    </x:row>
    <x:row r="37">
      <x:c r="A37" s="18" t="str">
        <x:v>POOL-H-003</x:v>
      </x:c>
      <x:c r="B37" s="18" t="str">
        <x:v>Pool Heizungsseite</x:v>
      </x:c>
      <x:c r="C37" s="18" t="str">
        <x:v>Heizungsraum, zwischen Heizungsseite und Poolseite</x:v>
      </x:c>
      <x:c r="D37" s="18" t="str">
        <x:v>Pool-Plattenwärmetauscher</x:v>
      </x:c>
      <x:c r="E37" s="18" t="str">
        <x:v>Neu</x:v>
      </x:c>
      <x:c r="F37" s="18" t="n">
        <x:v>1</x:v>
      </x:c>
      <x:c r="G37" s="18" t="str">
        <x:v>mind. 50 kW Edelstahl; bei Chlorid/Salz ggf. Titan prüfen</x:v>
      </x:c>
      <x:c r="H37" s="18" t="str">
        <x:v>Trennt Heizungswasser vom Poolwasser</x:v>
      </x:c>
      <x:c r="I37" s="18" t="str">
        <x:v>https://www.schwimmbadbau24.de/Plattenwaermetauscher-PWT-50-kW-Edelstahl-geloetet</x:v>
      </x:c>
      <x:c r="J37" s="18" t="n">
        <x:v>180</x:v>
      </x:c>
      <x:c r="K37" s="18" t="n">
        <x:f>IF(OR(F37="",J37=""),"",F37*J37)</x:f>
        <x:v>180</x:v>
      </x:c>
      <x:c r="L37" s="18" t="str">
        <x:v>hoch</x:v>
      </x:c>
      <x:c r="M37" s="18" t="str">
        <x:v>Für Chlor/Salz auf Materialfreigabe achten</x:v>
      </x:c>
    </x:row>
    <x:row r="38">
      <x:c r="A38" s="18" t="str">
        <x:v>POOL-H-004</x:v>
      </x:c>
      <x:c r="B38" s="18" t="str">
        <x:v>Pool Heizungsseite</x:v>
      </x:c>
      <x:c r="C38" s="18" t="str">
        <x:v>Vor und nach Pool-WT Heizungsseite</x:v>
      </x:c>
      <x:c r="D38" s="18" t="str">
        <x:v>Kugelhähne + Verschraubungen</x:v>
      </x:c>
      <x:c r="E38" s="18" t="str">
        <x:v>Neu</x:v>
      </x:c>
      <x:c r="F38" s="18" t="n">
        <x:v>4</x:v>
      </x:c>
      <x:c r="G38" s="18" t="str">
        <x:v>1" oder passend zum WT</x:v>
      </x:c>
      <x:c r="H38" s="18" t="str">
        <x:v>WT absperren und wartbar machen</x:v>
      </x:c>
      <x:c r="I38" s="18" t="str">
        <x:v>https://www.amazon.de/s?k=kugelhahn+1+zoll+heizung</x:v>
      </x:c>
      <x:c r="J38" s="18" t="n">
        <x:v>12</x:v>
      </x:c>
      <x:c r="K38" s="18" t="n">
        <x:f>IF(OR(F38="",J38=""),"",F38*J38)</x:f>
        <x:v>48</x:v>
      </x:c>
      <x:c r="L38" s="18" t="str">
        <x:v>mittel</x:v>
      </x:c>
      <x:c r="M38" s="18" t="str">
        <x:v>Mit lösbarer Verschraubung</x:v>
      </x:c>
    </x:row>
    <x:row r="39">
      <x:c r="A39" s="18" t="str">
        <x:v>POOL-H-005</x:v>
      </x:c>
      <x:c r="B39" s="18" t="str">
        <x:v>Pool Heizungsseite</x:v>
      </x:c>
      <x:c r="C39" s="18" t="str">
        <x:v>Pool-WT Heizungs-VL/RL</x:v>
      </x:c>
      <x:c r="D39" s="18" t="str">
        <x:v>Temperaturfühler Pool-WT Heizungsseite</x:v>
      </x:c>
      <x:c r="E39" s="18" t="str">
        <x:v>Neu</x:v>
      </x:c>
      <x:c r="F39" s="18" t="n">
        <x:v>2</x:v>
      </x:c>
      <x:c r="G39" s="18" t="str">
        <x:v>PT1000</x:v>
      </x:c>
      <x:c r="H39" s="18" t="str">
        <x:v>Regelung und Kontrolle der Heizleistung</x:v>
      </x:c>
      <x:c r="I39" s="18" t="str">
        <x:v>https://www.amazon.de/s?k=pt1000+anlegef%C3%BChler+heizung</x:v>
      </x:c>
      <x:c r="J39" s="18" t="n">
        <x:v>15</x:v>
      </x:c>
      <x:c r="K39" s="18" t="n">
        <x:f>IF(OR(F39="",J39=""),"",F39*J39)</x:f>
        <x:v>30</x:v>
      </x:c>
      <x:c r="L39" s="18" t="str">
        <x:v>mittel</x:v>
      </x:c>
      <x:c r="M39" s="18" t="str">
        <x:v>Auf Metallfitting/Anlegepunkt</x:v>
      </x:c>
    </x:row>
    <x:row r="40">
      <x:c r="A40" s="18" t="str">
        <x:v>POOL-H-006</x:v>
      </x:c>
      <x:c r="B40" s="18" t="str">
        <x:v>Pool Heizungsseite</x:v>
      </x:c>
      <x:c r="C40" s="18" t="str">
        <x:v>Rücklauf Pool-Heizkreis</x:v>
      </x:c>
      <x:c r="D40" s="18" t="str">
        <x:v>Rückschlagventil Pool</x:v>
      </x:c>
      <x:c r="E40" s="18" t="str">
        <x:v>Neu</x:v>
      </x:c>
      <x:c r="F40" s="18" t="n">
        <x:v>1</x:v>
      </x:c>
      <x:c r="G40" s="18" t="str">
        <x:v>1"</x:v>
      </x:c>
      <x:c r="H40" s="18" t="str">
        <x:v>Verhindert Fehlzirkulation</x:v>
      </x:c>
      <x:c r="I40" s="18" t="str">
        <x:v>https://www.amazon.de/s?k=r%C3%BCckschlagventil+1+zoll+heizung</x:v>
      </x:c>
      <x:c r="J40" s="18" t="n">
        <x:v>15</x:v>
      </x:c>
      <x:c r="K40" s="18" t="n">
        <x:f>IF(OR(F40="",J40=""),"",F40*J40)</x:f>
        <x:v>15</x:v>
      </x:c>
      <x:c r="L40" s="18" t="str">
        <x:v>mittel</x:v>
      </x:c>
      <x:c r="M40" s="18" t="str">
        <x:v>Strömungsrichtung markieren</x:v>
      </x:c>
    </x:row>
    <x:row r="41">
      <x:c r="A41" s="18" t="str">
        <x:v>POOL-W-001</x:v>
      </x:c>
      <x:c r="B41" s="18" t="str">
        <x:v>Poolwasserseite</x:v>
      </x:c>
      <x:c r="C41" s="18" t="str">
        <x:v>Pooltechnik vor Pool-WT</x:v>
      </x:c>
      <x:c r="D41" s="18" t="str">
        <x:v>Poolwasserseitige Bypass-Verrohrung</x:v>
      </x:c>
      <x:c r="E41" s="18" t="str">
        <x:v>Neu</x:v>
      </x:c>
      <x:c r="F41" s="18" t="n">
        <x:v>1</x:v>
      </x:c>
      <x:c r="G41" s="18" t="str">
        <x:v>PVC-U 50/63, Kugelhähne, Bypass</x:v>
      </x:c>
      <x:c r="H41" s="18" t="str">
        <x:v>Pool-WT in Filterkreis einbinden</x:v>
      </x:c>
      <x:c r="I41" s="18" t="str">
        <x:v>https://www.amazon.de/s?k=pool+filterpumpe+inverter</x:v>
      </x:c>
      <x:c r="J41" s="18" t="n">
        <x:v>80</x:v>
      </x:c>
      <x:c r="K41" s="18" t="n">
        <x:f>IF(OR(F41="",J41=""),"",F41*J41)</x:f>
        <x:v>80</x:v>
      </x:c>
      <x:c r="L41" s="18" t="str">
        <x:v>hoch</x:v>
      </x:c>
      <x:c r="M41" s="18" t="str">
        <x:v>Bestands-Filteranlage berücksichtigen</x:v>
      </x:c>
    </x:row>
    <x:row r="42">
      <x:c r="A42" s="18" t="str">
        <x:v>POOL-W-002</x:v>
      </x:c>
      <x:c r="B42" s="18" t="str">
        <x:v>Poolwasserseite</x:v>
      </x:c>
      <x:c r="C42" s="18" t="str">
        <x:v>Pooltechnik vor Dosier-/WT-Strecke</x:v>
      </x:c>
      <x:c r="D42" s="18" t="str">
        <x:v>Durchflussschalter Pool</x:v>
      </x:c>
      <x:c r="E42" s="18" t="str">
        <x:v>Neu</x:v>
      </x:c>
      <x:c r="F42" s="18" t="n">
        <x:v>1</x:v>
      </x:c>
      <x:c r="G42" s="18" t="str">
        <x:v>PVC 50/63, Reed/Schalter</x:v>
      </x:c>
      <x:c r="H42" s="18" t="str">
        <x:v>Dosierung nur bei Durchfluss erlauben</x:v>
      </x:c>
      <x:c r="I42" s="18" t="str">
        <x:v>https://www.amazon.de/s?k=durchflussschalter+pool+50mm</x:v>
      </x:c>
      <x:c r="J42" s="18" t="n">
        <x:v>25</x:v>
      </x:c>
      <x:c r="K42" s="18" t="n">
        <x:f>IF(OR(F42="",J42=""),"",F42*J42)</x:f>
        <x:v>25</x:v>
      </x:c>
      <x:c r="L42" s="18" t="str">
        <x:v>hoch</x:v>
      </x:c>
      <x:c r="M42" s="18" t="str">
        <x:v>Sicherheitsfreigabe für Dosierpumpen</x:v>
      </x:c>
    </x:row>
    <x:row r="43">
      <x:c r="A43" s="18" t="str">
        <x:v>POOL-W-003</x:v>
      </x:c>
      <x:c r="B43" s="18" t="str">
        <x:v>Poolwasserseite</x:v>
      </x:c>
      <x:c r="C43" s="18" t="str">
        <x:v>Pooltechnik Rücklauf nach Filter, vor Dosierung</x:v>
      </x:c>
      <x:c r="D43" s="18" t="str">
        <x:v>Pool-Temperaturfühler</x:v>
      </x:c>
      <x:c r="E43" s="18" t="str">
        <x:v>Neu</x:v>
      </x:c>
      <x:c r="F43" s="18" t="n">
        <x:v>1</x:v>
      </x:c>
      <x:c r="G43" s="18" t="str">
        <x:v>PT1000 oder DS18B20 in Tauchhülse</x:v>
      </x:c>
      <x:c r="H43" s="18" t="str">
        <x:v>Pooltemperatur für Heizlogik</x:v>
      </x:c>
      <x:c r="I43" s="18" t="str">
        <x:v>https://www.amazon.de/s?k=pt1000+anlegef%C3%BChler+heizung</x:v>
      </x:c>
      <x:c r="J43" s="18" t="n">
        <x:v>15</x:v>
      </x:c>
      <x:c r="K43" s="18" t="n">
        <x:f>IF(OR(F43="",J43=""),"",F43*J43)</x:f>
        <x:v>15</x:v>
      </x:c>
      <x:c r="L43" s="18" t="str">
        <x:v>hoch</x:v>
      </x:c>
      <x:c r="M43" s="18" t="str">
        <x:v>Tauchhülse in PVC bevorzugt</x:v>
      </x:c>
    </x:row>
    <x:row r="44">
      <x:c r="A44" s="18" t="str">
        <x:v>NG-001</x:v>
      </x:c>
      <x:c r="B44" s="18" t="str">
        <x:v>Nebengebäude</x:v>
      </x:c>
      <x:c r="C44" s="18" t="str">
        <x:v>Heizungsraum, Abgang Nebengebäude vom Hauptsammler</x:v>
      </x:c>
      <x:c r="D44" s="18" t="str">
        <x:v>Motorisches 3WV/Zonenventil Nebengebäude</x:v>
      </x:c>
      <x:c r="E44" s="18" t="str">
        <x:v>Neu</x:v>
      </x:c>
      <x:c r="F44" s="18" t="n">
        <x:v>1</x:v>
      </x:c>
      <x:c r="G44" s="18" t="str">
        <x:v>1"–1¼", 230V/24V</x:v>
      </x:c>
      <x:c r="H44" s="18" t="str">
        <x:v>Nebengebäude freigeben/umschalten</x:v>
      </x:c>
      <x:c r="I44" s="18" t="str">
        <x:v>https://www.amazon.de/wege-motorkugelhahn-230v-elektrisch-kugelventil/dp/B07GCGFQ47</x:v>
      </x:c>
      <x:c r="J44" s="18" t="n">
        <x:v>42</x:v>
      </x:c>
      <x:c r="K44" s="18" t="n">
        <x:f>IF(OR(F44="",J44=""),"",F44*J44)</x:f>
        <x:v>42</x:v>
      </x:c>
      <x:c r="L44" s="18" t="str">
        <x:v>hoch</x:v>
      </x:c>
      <x:c r="M44" s="18" t="str">
        <x:v>Wenn nur Ein/Aus, 2WV reicht</x:v>
      </x:c>
    </x:row>
    <x:row r="45">
      <x:c r="A45" s="18" t="str">
        <x:v>NG-002</x:v>
      </x:c>
      <x:c r="B45" s="18" t="str">
        <x:v>Nebengebäude</x:v>
      </x:c>
      <x:c r="C45" s="18" t="str">
        <x:v>Nach Ventil im Nebengebäude-Abgang</x:v>
      </x:c>
      <x:c r="D45" s="18" t="str">
        <x:v>Pumpe Nebengebäude</x:v>
      </x:c>
      <x:c r="E45" s="18" t="str">
        <x:v>Neu</x:v>
      </x:c>
      <x:c r="F45" s="18" t="n">
        <x:v>1</x:v>
      </x:c>
      <x:c r="G45" s="18" t="str">
        <x:v>25-60/180 oder 25-80/180</x:v>
      </x:c>
      <x:c r="H45" s="18" t="str">
        <x:v>Fördert Nebengebäude-Kreis</x:v>
      </x:c>
      <x:c r="I45" s="18" t="str">
        <x:v>https://chm-pumpen.de/Heizungspumpe-Auto-25-80-180/248</x:v>
      </x:c>
      <x:c r="J45" s="18" t="n">
        <x:v>91</x:v>
      </x:c>
      <x:c r="K45" s="18" t="n">
        <x:f>IF(OR(F45="",J45=""),"",F45*J45)</x:f>
        <x:v>91</x:v>
      </x:c>
      <x:c r="L45" s="18" t="str">
        <x:v>hoch</x:v>
      </x:c>
      <x:c r="M45" s="18" t="str">
        <x:v>Für ca. 10 kW Heizlast, Leitungslänge prüfen</x:v>
      </x:c>
    </x:row>
    <x:row r="46">
      <x:c r="A46" s="18" t="str">
        <x:v>NG-003</x:v>
      </x:c>
      <x:c r="B46" s="18" t="str">
        <x:v>Nebengebäude</x:v>
      </x:c>
      <x:c r="C46" s="18" t="str">
        <x:v>Abgang Nebengebäude VL/RL im Heizungsraum</x:v>
      </x:c>
      <x:c r="D46" s="18" t="str">
        <x:v>Kugelhähne VL/RL</x:v>
      </x:c>
      <x:c r="E46" s="18" t="str">
        <x:v>Neu</x:v>
      </x:c>
      <x:c r="F46" s="18" t="n">
        <x:v>2</x:v>
      </x:c>
      <x:c r="G46" s="18" t="str">
        <x:v>1"–1¼"</x:v>
      </x:c>
      <x:c r="H46" s="18" t="str">
        <x:v>Nebengebäude absperrbar</x:v>
      </x:c>
      <x:c r="I46" s="18" t="str">
        <x:v>https://www.amazon.de/s?k=kugelhahn+1+zoll+heizung</x:v>
      </x:c>
      <x:c r="J46" s="18" t="n">
        <x:v>12</x:v>
      </x:c>
      <x:c r="K46" s="18" t="n">
        <x:f>IF(OR(F46="",J46=""),"",F46*J46)</x:f>
        <x:v>24</x:v>
      </x:c>
      <x:c r="L46" s="18" t="str">
        <x:v>hoch</x:v>
      </x:c>
      <x:c r="M46" s="18" t="str">
        <x:v>Direkt am Sammler</x:v>
      </x:c>
    </x:row>
    <x:row r="47">
      <x:c r="A47" s="18" t="str">
        <x:v>NG-004</x:v>
      </x:c>
      <x:c r="B47" s="18" t="str">
        <x:v>Nebengebäude</x:v>
      </x:c>
      <x:c r="C47" s="18" t="str">
        <x:v>Nebengebäude VL/RL</x:v>
      </x:c>
      <x:c r="D47" s="18" t="str">
        <x:v>Temperaturfühler</x:v>
      </x:c>
      <x:c r="E47" s="18" t="str">
        <x:v>Neu</x:v>
      </x:c>
      <x:c r="F47" s="18" t="n">
        <x:v>2</x:v>
      </x:c>
      <x:c r="G47" s="18" t="str">
        <x:v>PT1000</x:v>
      </x:c>
      <x:c r="H47" s="18" t="str">
        <x:v>Regelung/Überwachung Nebengebäude</x:v>
      </x:c>
      <x:c r="I47" s="18" t="str">
        <x:v>https://www.amazon.de/s?k=pt1000+anlegef%C3%BChler+heizung</x:v>
      </x:c>
      <x:c r="J47" s="18" t="n">
        <x:v>15</x:v>
      </x:c>
      <x:c r="K47" s="18" t="n">
        <x:f>IF(OR(F47="",J47=""),"",F47*J47)</x:f>
        <x:v>30</x:v>
      </x:c>
      <x:c r="L47" s="18" t="str">
        <x:v>mittel</x:v>
      </x:c>
      <x:c r="M47" s="18" t="str">
        <x:v>Einbauort Heizungsraum oder Nebengebäude</x:v>
      </x:c>
    </x:row>
    <x:row r="48">
      <x:c r="A48" s="18" t="str">
        <x:v>NG-005</x:v>
      </x:c>
      <x:c r="B48" s="18" t="str">
        <x:v>Nebengebäude</x:v>
      </x:c>
      <x:c r="C48" s="18" t="str">
        <x:v>Rücklauf Nebengebäude</x:v>
      </x:c>
      <x:c r="D48" s="18" t="str">
        <x:v>Rückschlagventil</x:v>
      </x:c>
      <x:c r="E48" s="18" t="str">
        <x:v>Neu</x:v>
      </x:c>
      <x:c r="F48" s="18" t="n">
        <x:v>1</x:v>
      </x:c>
      <x:c r="G48" s="18" t="str">
        <x:v>1"</x:v>
      </x:c>
      <x:c r="H48" s="18" t="str">
        <x:v>Verhindert Schwerkraft-/Fehlzirkulation</x:v>
      </x:c>
      <x:c r="I48" s="18" t="str">
        <x:v>https://www.amazon.de/s?k=r%C3%BCckschlagventil+1+zoll+heizung</x:v>
      </x:c>
      <x:c r="J48" s="18" t="n">
        <x:v>15</x:v>
      </x:c>
      <x:c r="K48" s="18" t="n">
        <x:f>IF(OR(F48="",J48=""),"",F48*J48)</x:f>
        <x:v>15</x:v>
      </x:c>
      <x:c r="L48" s="18" t="str">
        <x:v>mittel</x:v>
      </x:c>
      <x:c r="M48" s="18" t="str">
        <x:v>Nach Pumpe oder im Rücklauf</x:v>
      </x:c>
    </x:row>
    <x:row r="49">
      <x:c r="A49" s="18" t="str">
        <x:v>HH-001</x:v>
      </x:c>
      <x:c r="B49" s="18" t="str">
        <x:v>Haupthaus Keller</x:v>
      </x:c>
      <x:c r="C49" s="18" t="str">
        <x:v>Keller-Sammelschiene für 3 Abgänge</x:v>
      </x:c>
      <x:c r="D49" s="18" t="str">
        <x:v>Haupthaus-Verteiler/Sammelschiene 3 Abgänge</x:v>
      </x:c>
      <x:c r="E49" s="18" t="str">
        <x:v>Neu</x:v>
      </x:c>
      <x:c r="F49" s="18" t="n">
        <x:v>1</x:v>
      </x:c>
      <x:c r="G49" s="18" t="str">
        <x:v>3 Abgänge: FBH, Radiatoren, Kaltwassergeräte; passend zu Bestandsleitung</x:v>
      </x:c>
      <x:c r="H49" s="18" t="str">
        <x:v>Ersetzt alte Sammelschiene mit nur 2 Abgängen</x:v>
      </x:c>
      <x:c r="I49" s="18" t="str">
        <x:v>https://www.amazon.de/s?k=heizkreisverteiler+3+abg%C3%A4nge+DN25</x:v>
      </x:c>
      <x:c r="J49" s="18" t="n">
        <x:v>160</x:v>
      </x:c>
      <x:c r="K49" s="18" t="n">
        <x:f>IF(OR(F49="",J49=""),"",F49*J49)</x:f>
        <x:v>160</x:v>
      </x:c>
      <x:c r="L49" s="18" t="str">
        <x:v>hoch</x:v>
      </x:c>
      <x:c r="M49" s="18" t="str">
        <x:v>So bauen, dass bestehende FBH/Radiatoren weiterverwendet werden</x:v>
      </x:c>
    </x:row>
    <x:row r="50">
      <x:c r="A50" s="18" t="str">
        <x:v>HH-002</x:v>
      </x:c>
      <x:c r="B50" s="18" t="str">
        <x:v>Haupthaus FBH</x:v>
      </x:c>
      <x:c r="C50" s="18" t="str">
        <x:v>Bestehender FBH-Abgang an neuer Sammelschiene</x:v>
      </x:c>
      <x:c r="D50" s="18" t="str">
        <x:v>FBH-Mischergruppe mit Pumpe</x:v>
      </x:c>
      <x:c r="E50" s="18" t="str">
        <x:v>Bestand</x:v>
      </x:c>
      <x:c r="F50" s="18" t="n">
        <x:v>1</x:v>
      </x:c>
      <x:c r="G50" s="18" t="str">
        <x:v>vorhanden</x:v>
      </x:c>
      <x:c r="H50" s="18" t="str">
        <x:v>Bestehender Fußbodenheizungskreis bleibt</x:v>
      </x:c>
      <x:c r="I50" s="18" t="str">
        <x:v>https://chm-pumpen.de/Heizungspumpe-Auto-25-80-180/248</x:v>
      </x:c>
      <x:c r="J50" s="18" t="n">
        <x:v>0</x:v>
      </x:c>
      <x:c r="K50" s="18" t="str">
        <x:f>IF(OR(F50="",J50=""),"",F50*J50)</x:f>
      </x:c>
      <x:c r="L50" s="18" t="str">
        <x:v>hoch</x:v>
      </x:c>
      <x:c r="M50" s="18" t="str">
        <x:v>Nur Anschlüsse/Dichtungen/Absperrung ggf. neu</x:v>
      </x:c>
    </x:row>
    <x:row r="51">
      <x:c r="A51" s="18" t="str">
        <x:v>HH-003</x:v>
      </x:c>
      <x:c r="B51" s="18" t="str">
        <x:v>Haupthaus FBH</x:v>
      </x:c>
      <x:c r="C51" s="18" t="str">
        <x:v>FBH-VL/RL am HKV</x:v>
      </x:c>
      <x:c r="D51" s="18" t="str">
        <x:v>Temperaturfühler FBH VL/RL</x:v>
      </x:c>
      <x:c r="E51" s="18" t="str">
        <x:v>Neu</x:v>
      </x:c>
      <x:c r="F51" s="18" t="n">
        <x:v>2</x:v>
      </x:c>
      <x:c r="G51" s="18" t="str">
        <x:v>PT1000</x:v>
      </x:c>
      <x:c r="H51" s="18" t="str">
        <x:v>Regelung bestehender FBH-Kreis</x:v>
      </x:c>
      <x:c r="I51" s="18" t="str">
        <x:v>https://www.amazon.de/s?k=pt1000+anlegef%C3%BChler+heizung</x:v>
      </x:c>
      <x:c r="J51" s="18" t="n">
        <x:v>15</x:v>
      </x:c>
      <x:c r="K51" s="18" t="n">
        <x:f>IF(OR(F51="",J51=""),"",F51*J51)</x:f>
        <x:v>30</x:v>
      </x:c>
      <x:c r="L51" s="18" t="str">
        <x:v>hoch</x:v>
      </x:c>
      <x:c r="M51" s="18" t="str">
        <x:v>Auch wenn Bestand: Fühler ergänzen</x:v>
      </x:c>
    </x:row>
    <x:row r="52">
      <x:c r="A52" s="18" t="str">
        <x:v>HH-004</x:v>
      </x:c>
      <x:c r="B52" s="18" t="str">
        <x:v>Haupthaus Radiatoren</x:v>
      </x:c>
      <x:c r="C52" s="18" t="str">
        <x:v>Bestehender Radiator-Abgang an neuer Sammelschiene</x:v>
      </x:c>
      <x:c r="D52" s="18" t="str">
        <x:v>Radiatoren-Mischergruppe mit Pumpe</x:v>
      </x:c>
      <x:c r="E52" s="18" t="str">
        <x:v>Bestand</x:v>
      </x:c>
      <x:c r="F52" s="18" t="n">
        <x:v>1</x:v>
      </x:c>
      <x:c r="G52" s="18" t="str">
        <x:v>vorhanden</x:v>
      </x:c>
      <x:c r="H52" s="18" t="str">
        <x:v>Bestehender Heizkörperkreis bleibt</x:v>
      </x:c>
      <x:c r="I52" s="18" t="str">
        <x:v>https://chm-pumpen.de/Heizungspumpe-Auto-25-80-180/248</x:v>
      </x:c>
      <x:c r="J52" s="18" t="n">
        <x:v>0</x:v>
      </x:c>
      <x:c r="K52" s="18" t="str">
        <x:f>IF(OR(F52="",J52=""),"",F52*J52)</x:f>
      </x:c>
      <x:c r="L52" s="18" t="str">
        <x:v>hoch</x:v>
      </x:c>
      <x:c r="M52" s="18" t="str">
        <x:v>Nur Anschlüsse/Dichtungen/Absperrung prüfen</x:v>
      </x:c>
    </x:row>
    <x:row r="53">
      <x:c r="A53" s="18" t="str">
        <x:v>HH-005</x:v>
      </x:c>
      <x:c r="B53" s="18" t="str">
        <x:v>Haupthaus Radiatoren</x:v>
      </x:c>
      <x:c r="C53" s="18" t="str">
        <x:v>Radiatoren-VL/RL</x:v>
      </x:c>
      <x:c r="D53" s="18" t="str">
        <x:v>Temperaturfühler Radiatoren VL/RL</x:v>
      </x:c>
      <x:c r="E53" s="18" t="str">
        <x:v>Neu</x:v>
      </x:c>
      <x:c r="F53" s="18" t="n">
        <x:v>2</x:v>
      </x:c>
      <x:c r="G53" s="18" t="str">
        <x:v>PT1000</x:v>
      </x:c>
      <x:c r="H53" s="18" t="str">
        <x:v>Regelung/Überwachung Radiatoren</x:v>
      </x:c>
      <x:c r="I53" s="18" t="str">
        <x:v>https://www.amazon.de/s?k=pt1000+anlegef%C3%BChler+heizung</x:v>
      </x:c>
      <x:c r="J53" s="18" t="n">
        <x:v>15</x:v>
      </x:c>
      <x:c r="K53" s="18" t="n">
        <x:f>IF(OR(F53="",J53=""),"",F53*J53)</x:f>
        <x:v>30</x:v>
      </x:c>
      <x:c r="L53" s="18" t="str">
        <x:v>hoch</x:v>
      </x:c>
      <x:c r="M53" s="18" t="str">
        <x:v>Für Backup/hohe VL wichtig</x:v>
      </x:c>
    </x:row>
    <x:row r="54">
      <x:c r="A54" s="18" t="str">
        <x:v>HH-006</x:v>
      </x:c>
      <x:c r="B54" s="18" t="str">
        <x:v>Haupthaus Kaltwassergeräte</x:v>
      </x:c>
      <x:c r="C54" s="18" t="str">
        <x:v>Dritter Abgang neue Keller-Sammelschiene</x:v>
      </x:c>
      <x:c r="D54" s="18" t="str">
        <x:v>Kaltwassergeräte-/Fan-Coil-HKV</x:v>
      </x:c>
      <x:c r="E54" s="18" t="str">
        <x:v>Neu</x:v>
      </x:c>
      <x:c r="F54" s="18" t="n">
        <x:v>1</x:v>
      </x:c>
      <x:c r="G54" s="18" t="str">
        <x:v>5 Abgänge, mit Durchflussanzeige und Stellantrieben</x:v>
      </x:c>
      <x:c r="H54" s="18" t="str">
        <x:v>Verteiler für 5 OG-Geräte: Kind, Büro, Schlafen, Bad, Flur</x:v>
      </x:c>
      <x:c r="I54" s="18" t="str">
        <x:v>https://www.amazon.de/s?k=heizkreisverteiler+3+abg%C3%A4nge+DN25</x:v>
      </x:c>
      <x:c r="J54" s="18" t="n">
        <x:v>180</x:v>
      </x:c>
      <x:c r="K54" s="18" t="n">
        <x:f>IF(OR(F54="",J54=""),"",F54*J54)</x:f>
        <x:v>180</x:v>
      </x:c>
      <x:c r="L54" s="18" t="str">
        <x:v>hoch</x:v>
      </x:c>
      <x:c r="M54" s="18" t="str">
        <x:v>Für Heizen und Kühlen geeignete Materialien/isolierbare Ausführung</x:v>
      </x:c>
    </x:row>
    <x:row r="55">
      <x:c r="A55" s="18" t="str">
        <x:v>HH-007</x:v>
      </x:c>
      <x:c r="B55" s="18" t="str">
        <x:v>Haupthaus Kaltwassergeräte</x:v>
      </x:c>
      <x:c r="C55" s="18" t="str">
        <x:v>Vor Fan-Coil-HKV</x:v>
      </x:c>
      <x:c r="D55" s="18" t="str">
        <x:v>Pumpe Fan-Coil-Kreis</x:v>
      </x:c>
      <x:c r="E55" s="18" t="str">
        <x:v>Neu</x:v>
      </x:c>
      <x:c r="F55" s="18" t="n">
        <x:v>1</x:v>
      </x:c>
      <x:c r="G55" s="18" t="str">
        <x:v>25-60/180 oder passend zu 5 Geräten</x:v>
      </x:c>
      <x:c r="H55" s="18" t="str">
        <x:v>Fördert Heiz-/Kühlwasser zu Fan-Coils</x:v>
      </x:c>
      <x:c r="I55" s="18" t="str">
        <x:v>https://chm-pumpen.de/Heizungspumpe-Auto-25-80-180/248</x:v>
      </x:c>
      <x:c r="J55" s="18" t="n">
        <x:v>91</x:v>
      </x:c>
      <x:c r="K55" s="18" t="n">
        <x:f>IF(OR(F55="",J55=""),"",F55*J55)</x:f>
        <x:v>91</x:v>
      </x:c>
      <x:c r="L55" s="18" t="str">
        <x:v>hoch</x:v>
      </x:c>
      <x:c r="M55" s="18" t="str">
        <x:v>Bei Kühlung Kondensat beachten</x:v>
      </x:c>
    </x:row>
    <x:row r="56">
      <x:c r="A56" s="18" t="str">
        <x:v>HH-008</x:v>
      </x:c>
      <x:c r="B56" s="18" t="str">
        <x:v>Haupthaus Kaltwassergeräte</x:v>
      </x:c>
      <x:c r="C56" s="18" t="str">
        <x:v>Zwischen Warmkreis und Kaltkreis/Fan-Coil-HKV</x:v>
      </x:c>
      <x:c r="D56" s="18" t="str">
        <x:v>Umschaltventil Heizen/Kühlen</x:v>
      </x:c>
      <x:c r="E56" s="18" t="str">
        <x:v>Neu</x:v>
      </x:c>
      <x:c r="F56" s="18" t="n">
        <x:v>2</x:v>
      </x:c>
      <x:c r="G56" s="18" t="str">
        <x:v>2× 2WV oder 1× 3WV, 230V/24V</x:v>
      </x:c>
      <x:c r="H56" s="18" t="str">
        <x:v>Schaltet Fan-Coil-HKV zwischen Warmwasser und Brunnenkühlung um</x:v>
      </x:c>
      <x:c r="I56" s="18" t="str">
        <x:v>https://www.amazon.de/wege-motorkugelhahn-230v-elektrisch-kugelventil/dp/B07GCGFQ47</x:v>
      </x:c>
      <x:c r="J56" s="18" t="n">
        <x:v>42</x:v>
      </x:c>
      <x:c r="K56" s="18" t="n">
        <x:f>IF(OR(F56="",J56=""),"",F56*J56)</x:f>
        <x:v>84</x:v>
      </x:c>
      <x:c r="L56" s="18" t="str">
        <x:v>hoch</x:v>
      </x:c>
      <x:c r="M56" s="18" t="str">
        <x:v>Gegenseitige Verriegelung in Steuerung</x:v>
      </x:c>
    </x:row>
    <x:row r="57">
      <x:c r="A57" s="18" t="str">
        <x:v>HH-009</x:v>
      </x:c>
      <x:c r="B57" s="18" t="str">
        <x:v>Haupthaus Kaltwassergeräte</x:v>
      </x:c>
      <x:c r="C57" s="18" t="str">
        <x:v>Fan-Coil-HKV Abgänge</x:v>
      </x:c>
      <x:c r="D57" s="18" t="str">
        <x:v>Stellantriebe Einzelventile</x:v>
      </x:c>
      <x:c r="E57" s="18" t="str">
        <x:v>Neu</x:v>
      </x:c>
      <x:c r="F57" s="18" t="n">
        <x:v>5</x:v>
      </x:c>
      <x:c r="G57" s="18" t="str">
        <x:v>230V/24V passend zum HKV</x:v>
      </x:c>
      <x:c r="H57" s="18" t="str">
        <x:v>Einzelregelung der 5 Kaltwassergeräte</x:v>
      </x:c>
      <x:c r="I57" s="18" t="str">
        <x:v>https://www.amazon.de/s?k=heizkreisverteiler+3+abg%C3%A4nge+DN25</x:v>
      </x:c>
      <x:c r="J57" s="18" t="n">
        <x:v>12</x:v>
      </x:c>
      <x:c r="K57" s="18" t="n">
        <x:f>IF(OR(F57="",J57=""),"",F57*J57)</x:f>
        <x:v>60</x:v>
      </x:c>
      <x:c r="L57" s="18" t="str">
        <x:v>mittel</x:v>
      </x:c>
      <x:c r="M57" s="18" t="str">
        <x:v>Spannung passend zur Steuerung wählen</x:v>
      </x:c>
    </x:row>
    <x:row r="58">
      <x:c r="A58" s="18" t="str">
        <x:v>HH-010</x:v>
      </x:c>
      <x:c r="B58" s="18" t="str">
        <x:v>Haupthaus Kaltwassergeräte</x:v>
      </x:c>
      <x:c r="C58" s="18" t="str">
        <x:v>Fan-Coil-VL/RL</x:v>
      </x:c>
      <x:c r="D58" s="18" t="str">
        <x:v>Temperaturfühler Fan-Coil VL/RL</x:v>
      </x:c>
      <x:c r="E58" s="18" t="str">
        <x:v>Neu</x:v>
      </x:c>
      <x:c r="F58" s="18" t="n">
        <x:v>2</x:v>
      </x:c>
      <x:c r="G58" s="18" t="str">
        <x:v>PT1000</x:v>
      </x:c>
      <x:c r="H58" s="18" t="str">
        <x:v>Regelung Fan-Coil-Kreis</x:v>
      </x:c>
      <x:c r="I58" s="18" t="str">
        <x:v>https://www.amazon.de/s?k=pt1000+anlegef%C3%BChler+heizung</x:v>
      </x:c>
      <x:c r="J58" s="18" t="n">
        <x:v>15</x:v>
      </x:c>
      <x:c r="K58" s="18" t="n">
        <x:f>IF(OR(F58="",J58=""),"",F58*J58)</x:f>
        <x:v>30</x:v>
      </x:c>
      <x:c r="L58" s="18" t="str">
        <x:v>hoch</x:v>
      </x:c>
      <x:c r="M58" s="18" t="str">
        <x:v>Auch für Taupunktlogik</x:v>
      </x:c>
    </x:row>
    <x:row r="59">
      <x:c r="A59" s="18" t="str">
        <x:v>HH-011</x:v>
      </x:c>
      <x:c r="B59" s="18" t="str">
        <x:v>Haupthaus Kaltwassergeräte</x:v>
      </x:c>
      <x:c r="C59" s="18" t="str">
        <x:v>Fan-Coil-Kreis / Referenzräume</x:v>
      </x:c>
      <x:c r="D59" s="18" t="str">
        <x:v>Taupunkt-/Feuchtefühler</x:v>
      </x:c>
      <x:c r="E59" s="18" t="str">
        <x:v>Neu</x:v>
      </x:c>
      <x:c r="F59" s="18" t="n">
        <x:v>2</x:v>
      </x:c>
      <x:c r="G59" s="18" t="str">
        <x:v>Modbus/0-10V/HA-Sensor</x:v>
      </x:c>
      <x:c r="H59" s="18" t="str">
        <x:v>Kühlfreigabe und Kondensationsschutz</x:v>
      </x:c>
      <x:c r="I59" s="18" t="str">
        <x:v>https://www.amazon.de/s?k=ph+orp+controller+rs485+modbus+4-20ma</x:v>
      </x:c>
      <x:c r="J59" s="18" t="n">
        <x:v>40</x:v>
      </x:c>
      <x:c r="K59" s="18" t="n">
        <x:f>IF(OR(F59="",J59=""),"",F59*J59)</x:f>
        <x:v>80</x:v>
      </x:c>
      <x:c r="L59" s="18" t="str">
        <x:v>hoch</x:v>
      </x:c>
      <x:c r="M59" s="18" t="str">
        <x:v>Link ist nur Suchlink; passenden Feuchte-/Taupunktsensor wählen</x:v>
      </x:c>
    </x:row>
    <x:row r="60">
      <x:c r="A60" s="18" t="str">
        <x:v>HH-012</x:v>
      </x:c>
      <x:c r="B60" s="18" t="str">
        <x:v>Haupthaus Kaltwassergeräte</x:v>
      </x:c>
      <x:c r="C60" s="18" t="str">
        <x:v>Jedes Fan-Coil-Gerät</x:v>
      </x:c>
      <x:c r="D60" s="18" t="str">
        <x:v>Kondensatwanne/-ablauf/-Schalter</x:v>
      </x:c>
      <x:c r="E60" s="18" t="str">
        <x:v>Neu</x:v>
      </x:c>
      <x:c r="F60" s="18" t="n">
        <x:v>5</x:v>
      </x:c>
      <x:c r="G60" s="18" t="str">
        <x:v>passend zum Gerät</x:v>
      </x:c>
      <x:c r="H60" s="18" t="str">
        <x:v>Sicherer Kondensatablauf bei Kühlung</x:v>
      </x:c>
      <x:c r="I60" s="18" t="str">
        <x:v>https://www.amazon.de/s?k=durchflussschalter+pool+50mm</x:v>
      </x:c>
      <x:c r="J60" s="18" t="n">
        <x:v>20</x:v>
      </x:c>
      <x:c r="K60" s="18" t="n">
        <x:f>IF(OR(F60="",J60=""),"",F60*J60)</x:f>
        <x:v>100</x:v>
      </x:c>
      <x:c r="L60" s="18" t="str">
        <x:v>hoch</x:v>
      </x:c>
      <x:c r="M60" s="18" t="str">
        <x:v>Je Gerät vorsehen</x:v>
      </x:c>
    </x:row>
    <x:row r="61">
      <x:c r="A61" s="18" t="str">
        <x:v>BK-001</x:v>
      </x:c>
      <x:c r="B61" s="18" t="str">
        <x:v>Brunnenkühlung offen</x:v>
      </x:c>
      <x:c r="C61" s="18" t="str">
        <x:v>Brunnenleitung nach vorhandener Brunnenpumpe</x:v>
      </x:c>
      <x:c r="D61" s="18" t="str">
        <x:v>Motorisches Brunnenwasser-Ventil</x:v>
      </x:c>
      <x:c r="E61" s="18" t="str">
        <x:v>Neu</x:v>
      </x:c>
      <x:c r="F61" s="18" t="n">
        <x:v>1</x:v>
      </x:c>
      <x:c r="G61" s="18" t="str">
        <x:v>1" 24V/230V, wassergeeignet</x:v>
      </x:c>
      <x:c r="H61" s="18" t="str">
        <x:v>Öffnet Brunnenwasser nur bei Kühlanforderung / WT-Betrieb</x:v>
      </x:c>
      <x:c r="I61" s="18" t="str">
        <x:v>https://www.idealo.de/preisvergleich/Liste/116030402/2-wege-motorkugelhahn-230v.html</x:v>
      </x:c>
      <x:c r="J61" s="18" t="n">
        <x:v>38</x:v>
      </x:c>
      <x:c r="K61" s="18" t="n">
        <x:f>IF(OR(F61="",J61=""),"",F61*J61)</x:f>
        <x:v>38</x:v>
      </x:c>
      <x:c r="L61" s="18" t="str">
        <x:v>hoch</x:v>
      </x:c>
      <x:c r="M61" s="18" t="str">
        <x:v>Mit Brunnenpumpe/FU verriegeln</x:v>
      </x:c>
    </x:row>
    <x:row r="62">
      <x:c r="A62" s="18" t="str">
        <x:v>BK-002</x:v>
      </x:c>
      <x:c r="B62" s="18" t="str">
        <x:v>Brunnenkühlung offen</x:v>
      </x:c>
      <x:c r="C62" s="18" t="str">
        <x:v>Vor Brunnen-WT Primärseite</x:v>
      </x:c>
      <x:c r="D62" s="18" t="str">
        <x:v>Filter/Schmutzfänger Brunnenwasser</x:v>
      </x:c>
      <x:c r="E62" s="18" t="str">
        <x:v>Neu</x:v>
      </x:c>
      <x:c r="F62" s="18" t="n">
        <x:v>1</x:v>
      </x:c>
      <x:c r="G62" s="18" t="str">
        <x:v>1"–1¼", spülbar</x:v>
      </x:c>
      <x:c r="H62" s="18" t="str">
        <x:v>Schützt Brunnen-Wärmetauscher vor Sand/Partikeln</x:v>
      </x:c>
      <x:c r="I62" s="18" t="str">
        <x:v>https://www.amazon.de/s?k=wasserfilter+brunnenpumpe+1+zoll</x:v>
      </x:c>
      <x:c r="J62" s="18" t="n">
        <x:v>35</x:v>
      </x:c>
      <x:c r="K62" s="18" t="n">
        <x:f>IF(OR(F62="",J62=""),"",F62*J62)</x:f>
        <x:v>35</x:v>
      </x:c>
      <x:c r="L62" s="18" t="str">
        <x:v>hoch</x:v>
      </x:c>
      <x:c r="M62" s="18" t="str">
        <x:v>Brunnenwasser kann Platten-WT schnell zusetzen</x:v>
      </x:c>
    </x:row>
    <x:row r="63">
      <x:c r="A63" s="18" t="str">
        <x:v>BK-003</x:v>
      </x:c>
      <x:c r="B63" s="18" t="str">
        <x:v>Brunnenkühlung offen/geschlossen</x:v>
      </x:c>
      <x:c r="C63" s="18" t="str">
        <x:v>Keller, zwischen Brunnenwasser und Gebäudekühlkreis</x:v>
      </x:c>
      <x:c r="D63" s="18" t="str">
        <x:v>Brunnen-Plattenwärmetauscher</x:v>
      </x:c>
      <x:c r="E63" s="18" t="str">
        <x:v>Neu</x:v>
      </x:c>
      <x:c r="F63" s="18" t="n">
        <x:v>1</x:v>
      </x:c>
      <x:c r="G63" s="18" t="str">
        <x:v>Edelstahl, mind. 30–60 kW, ausreichend Volumenstrom</x:v>
      </x:c>
      <x:c r="H63" s="18" t="str">
        <x:v>Trennt offenes Brunnenwasser vom geschlossenen Kaltwasserkreis</x:v>
      </x:c>
      <x:c r="I63" s="18" t="str">
        <x:v>https://www.wiltec.de/wiltec-waermetauscher-50-platten-max.-285-kw-12-m3-h-2-50-l-je-durchgang-plattenwaermetauscher-aus-edelstahl-als-waermeuebertraeger/50683</x:v>
      </x:c>
      <x:c r="J63" s="18" t="n">
        <x:v>160</x:v>
      </x:c>
      <x:c r="K63" s="18" t="n">
        <x:f>IF(OR(F63="",J63=""),"",F63*J63)</x:f>
        <x:v>160</x:v>
      </x:c>
      <x:c r="L63" s="18" t="str">
        <x:v>hoch</x:v>
      </x:c>
      <x:c r="M63" s="18" t="str">
        <x:v>Bei eisen-/manganhaltigem Wasser größer und reinigbar planen</x:v>
      </x:c>
    </x:row>
    <x:row r="64">
      <x:c r="A64" s="18" t="str">
        <x:v>BK-004</x:v>
      </x:c>
      <x:c r="B64" s="18" t="str">
        <x:v>Brunnenkühlung offen</x:v>
      </x:c>
      <x:c r="C64" s="18" t="str">
        <x:v>Brunnenwasser Eintritt/Austritt WT</x:v>
      </x:c>
      <x:c r="D64" s="18" t="str">
        <x:v>Temperaturfühler Brunnenwasser</x:v>
      </x:c>
      <x:c r="E64" s="18" t="str">
        <x:v>Neu</x:v>
      </x:c>
      <x:c r="F64" s="18" t="n">
        <x:v>2</x:v>
      </x:c>
      <x:c r="G64" s="18" t="str">
        <x:v>PT1000/Tauchfühler</x:v>
      </x:c>
      <x:c r="H64" s="18" t="str">
        <x:v>Messung Kühlleistung Primärseite</x:v>
      </x:c>
      <x:c r="I64" s="18" t="str">
        <x:v>https://www.amazon.de/s?k=pt1000+anlegef%C3%BChler+heizung</x:v>
      </x:c>
      <x:c r="J64" s="18" t="n">
        <x:v>15</x:v>
      </x:c>
      <x:c r="K64" s="18" t="n">
        <x:f>IF(OR(F64="",J64=""),"",F64*J64)</x:f>
        <x:v>30</x:v>
      </x:c>
      <x:c r="L64" s="18" t="str">
        <x:v>mittel</x:v>
      </x:c>
      <x:c r="M64" s="18" t="str">
        <x:v>Tauchhülse bevorzugt</x:v>
      </x:c>
    </x:row>
    <x:row r="65">
      <x:c r="A65" s="18" t="str">
        <x:v>BK-005</x:v>
      </x:c>
      <x:c r="B65" s="18" t="str">
        <x:v>Brunnenkühlung offen</x:v>
      </x:c>
      <x:c r="C65" s="18" t="str">
        <x:v>Brunnenleitung</x:v>
      </x:c>
      <x:c r="D65" s="18" t="str">
        <x:v>Durchflussschalter / Strömungswächter</x:v>
      </x:c>
      <x:c r="E65" s="18" t="str">
        <x:v>Neu</x:v>
      </x:c>
      <x:c r="F65" s="18" t="n">
        <x:v>1</x:v>
      </x:c>
      <x:c r="G65" s="18" t="str">
        <x:v>1", Schaltausgang</x:v>
      </x:c>
      <x:c r="H65" s="18" t="str">
        <x:v>Sicherstellen, dass Wasser über WT fließt</x:v>
      </x:c>
      <x:c r="I65" s="18" t="str">
        <x:v>https://www.amazon.de/s?k=durchflussschalter+pool+50mm</x:v>
      </x:c>
      <x:c r="J65" s="18" t="n">
        <x:v>25</x:v>
      </x:c>
      <x:c r="K65" s="18" t="n">
        <x:f>IF(OR(F65="",J65=""),"",F65*J65)</x:f>
        <x:v>25</x:v>
      </x:c>
      <x:c r="L65" s="18" t="str">
        <x:v>hoch</x:v>
      </x:c>
      <x:c r="M65" s="18" t="str">
        <x:v>Schützt vor Trocken-/Fehlbetrieb</x:v>
      </x:c>
    </x:row>
    <x:row r="66">
      <x:c r="A66" s="18" t="str">
        <x:v>BK-006</x:v>
      </x:c>
      <x:c r="B66" s="18" t="str">
        <x:v>Brunnenkühlung geschlossen</x:v>
      </x:c>
      <x:c r="C66" s="18" t="str">
        <x:v>Gebäudeseite Brunnen-WT</x:v>
      </x:c>
      <x:c r="D66" s="18" t="str">
        <x:v>Kleines Ausdehnungsgefäß Kaltwasserkreis</x:v>
      </x:c>
      <x:c r="E66" s="18" t="str">
        <x:v>Neu</x:v>
      </x:c>
      <x:c r="F66" s="18" t="n">
        <x:v>1</x:v>
      </x:c>
      <x:c r="G66" s="18" t="str">
        <x:v>8–18 l, je Wasserinhalt</x:v>
      </x:c>
      <x:c r="H66" s="18" t="str">
        <x:v>Druckhaltung geschlossener Kaltwasserkreis</x:v>
      </x:c>
      <x:c r="I66" s="18" t="str">
        <x:v>https://www.amazon.de/s?k=ausdehnungsgef%C3%A4%C3%9F+heizung</x:v>
      </x:c>
      <x:c r="J66" s="18" t="n">
        <x:v>35</x:v>
      </x:c>
      <x:c r="K66" s="18" t="n">
        <x:f>IF(OR(F66="",J66=""),"",F66*J66)</x:f>
        <x:v>35</x:v>
      </x:c>
      <x:c r="L66" s="18" t="str">
        <x:v>mittel</x:v>
      </x:c>
      <x:c r="M66" s="18" t="str">
        <x:v>Wenn Kaltwasserkreis hydraulisch separater Kreis ist</x:v>
      </x:c>
    </x:row>
    <x:row r="67">
      <x:c r="A67" s="18" t="str">
        <x:v>BK-007</x:v>
      </x:c>
      <x:c r="B67" s="18" t="str">
        <x:v>Brunnenkühlung geschlossen</x:v>
      </x:c>
      <x:c r="C67" s="18" t="str">
        <x:v>Gebäudeseite Brunnen-WT</x:v>
      </x:c>
      <x:c r="D67" s="18" t="str">
        <x:v>Sicherheitsgruppe / Manometer Kaltkreis</x:v>
      </x:c>
      <x:c r="E67" s="18" t="str">
        <x:v>Neu</x:v>
      </x:c>
      <x:c r="F67" s="18" t="n">
        <x:v>1</x:v>
      </x:c>
      <x:c r="G67" s="18" t="str">
        <x:v>3 bar / passend</x:v>
      </x:c>
      <x:c r="H67" s="18" t="str">
        <x:v>Sicherheit geschlossener Gebäudekühlkreis</x:v>
      </x:c>
      <x:c r="I67" s="18" t="str">
        <x:v>https://www.amazon.de/s?k=sicherheitsgruppe+heizung+3+bar</x:v>
      </x:c>
      <x:c r="J67" s="18" t="n">
        <x:v>35</x:v>
      </x:c>
      <x:c r="K67" s="18" t="n">
        <x:f>IF(OR(F67="",J67=""),"",F67*J67)</x:f>
        <x:v>35</x:v>
      </x:c>
      <x:c r="L67" s="18" t="str">
        <x:v>mittel</x:v>
      </x:c>
      <x:c r="M67" s="18" t="str">
        <x:v>Nur falls separater geschlossener Kreis</x:v>
      </x:c>
    </x:row>
    <x:row r="68">
      <x:c r="A68" s="18" t="str">
        <x:v>BK-008</x:v>
      </x:c>
      <x:c r="B68" s="18" t="str">
        <x:v>Brunnenkühlung geschlossen</x:v>
      </x:c>
      <x:c r="C68" s="18" t="str">
        <x:v>Gebäude-Kaltkreis VL/RL</x:v>
      </x:c>
      <x:c r="D68" s="18" t="str">
        <x:v>Temperaturfühler Kalt-VL/Kalt-RL</x:v>
      </x:c>
      <x:c r="E68" s="18" t="str">
        <x:v>Neu</x:v>
      </x:c>
      <x:c r="F68" s="18" t="n">
        <x:v>2</x:v>
      </x:c>
      <x:c r="G68" s="18" t="str">
        <x:v>PT1000</x:v>
      </x:c>
      <x:c r="H68" s="18" t="str">
        <x:v>Regelung Brunnenkühlung und Taupunktgrenze</x:v>
      </x:c>
      <x:c r="I68" s="18" t="str">
        <x:v>https://www.amazon.de/s?k=pt1000+anlegef%C3%BChler+heizung</x:v>
      </x:c>
      <x:c r="J68" s="18" t="n">
        <x:v>15</x:v>
      </x:c>
      <x:c r="K68" s="18" t="n">
        <x:f>IF(OR(F68="",J68=""),"",F68*J68)</x:f>
        <x:v>30</x:v>
      </x:c>
      <x:c r="L68" s="18" t="str">
        <x:v>hoch</x:v>
      </x:c>
      <x:c r="M68" s="18" t="str">
        <x:v>Direkt nach WT und Rücklauf vor WT</x:v>
      </x:c>
    </x:row>
    <x:row r="69">
      <x:c r="A69" s="18" t="str">
        <x:v>BK-009</x:v>
      </x:c>
      <x:c r="B69" s="18" t="str">
        <x:v>Brunnenkühlung geschlossen</x:v>
      </x:c>
      <x:c r="C69" s="18" t="str">
        <x:v>Kaltkreis an Hochpunkt/HKV</x:v>
      </x:c>
      <x:c r="D69" s="18" t="str">
        <x:v>Entlüfter + Absperrung</x:v>
      </x:c>
      <x:c r="E69" s="18" t="str">
        <x:v>Neu</x:v>
      </x:c>
      <x:c r="F69" s="18" t="n">
        <x:v>1</x:v>
      </x:c>
      <x:c r="G69" s="18" t="str">
        <x:v>1/2"</x:v>
      </x:c>
      <x:c r="H69" s="18" t="str">
        <x:v>Entlüftung Kaltwasserkreis</x:v>
      </x:c>
      <x:c r="I69" s="18" t="str">
        <x:v>https://www.amazon.de/s?k=automatischer+entl%C3%BCfter+1%2F2+heizung</x:v>
      </x:c>
      <x:c r="J69" s="18" t="n">
        <x:v>15</x:v>
      </x:c>
      <x:c r="K69" s="18" t="n">
        <x:f>IF(OR(F69="",J69=""),"",F69*J69)</x:f>
        <x:v>15</x:v>
      </x:c>
      <x:c r="L69" s="18" t="str">
        <x:v>mittel</x:v>
      </x:c>
      <x:c r="M69" s="18" t="str">
        <x:v>Bei Kühlung gut dämmen gegen Kondensat</x:v>
      </x:c>
    </x:row>
    <x:row r="70">
      <x:c r="A70" s="18" t="str">
        <x:v>BK-010</x:v>
      </x:c>
      <x:c r="B70" s="18" t="str">
        <x:v>Brunnenkühlung geschlossen</x:v>
      </x:c>
      <x:c r="C70" s="18" t="str">
        <x:v>Kaltkreis Tiefpunkt</x:v>
      </x:c>
      <x:c r="D70" s="18" t="str">
        <x:v>Entleer-/Spülhähne</x:v>
      </x:c>
      <x:c r="E70" s="18" t="str">
        <x:v>Neu</x:v>
      </x:c>
      <x:c r="F70" s="18" t="n">
        <x:v>2</x:v>
      </x:c>
      <x:c r="G70" s="18" t="str">
        <x:v>KFE</x:v>
      </x:c>
      <x:c r="H70" s="18" t="str">
        <x:v>Spülen/Befüllen Kaltwasserkreis</x:v>
      </x:c>
      <x:c r="I70" s="18" t="str">
        <x:v>https://www.amazon.de/s?k=kfe+hahn+1%2F2+heizung</x:v>
      </x:c>
      <x:c r="J70" s="18" t="n">
        <x:v>8</x:v>
      </x:c>
      <x:c r="K70" s="18" t="n">
        <x:f>IF(OR(F70="",J70=""),"",F70*J70)</x:f>
        <x:v>16</x:v>
      </x:c>
      <x:c r="L70" s="18" t="str">
        <x:v>mittel</x:v>
      </x:c>
      <x:c r="M70" s="18" t="str">
        <x:v>Mit Schlauchanschluss</x:v>
      </x:c>
    </x:row>
    <x:row r="71">
      <x:c r="A71" s="18" t="str">
        <x:v>DOS-001</x:v>
      </x:c>
      <x:c r="B71" s="18" t="str">
        <x:v>Pool Dosierung Messung</x:v>
      </x:c>
      <x:c r="C71" s="18" t="str">
        <x:v>Pooltechnik, Bypass nach Filter vor Dosierstellen</x:v>
      </x:c>
      <x:c r="D71" s="18" t="str">
        <x:v>Acryl-Messzelle / Messrohr 2-fach</x:v>
      </x:c>
      <x:c r="E71" s="18" t="str">
        <x:v>Neu</x:v>
      </x:c>
      <x:c r="F71" s="18" t="n">
        <x:v>1</x:v>
      </x:c>
      <x:c r="G71" s="18" t="str">
        <x:v>pH + Redox, 12 mm/PG13.5, Durchflussarmatur</x:v>
      </x:c>
      <x:c r="H71" s="18" t="str">
        <x:v>Ruhige Messstrecke für pH und Redox/ORP</x:v>
      </x:c>
      <x:c r="I71" s="18" t="str">
        <x:v>https://www.gemke-shop.de/dosiertechnik/schwimmbad/elektroden/</x:v>
      </x:c>
      <x:c r="J71" s="18" t="n">
        <x:v>190</x:v>
      </x:c>
      <x:c r="K71" s="18" t="n">
        <x:f>IF(OR(F71="",J71=""),"",F71*J71)</x:f>
        <x:v>190</x:v>
      </x:c>
      <x:c r="L71" s="18" t="str">
        <x:v>hoch</x:v>
      </x:c>
      <x:c r="M71" s="18" t="str">
        <x:v>Gemke/Pooldigital; Bypass mit Probeentnahme bevorzugt</x:v>
      </x:c>
    </x:row>
    <x:row r="72">
      <x:c r="A72" s="18" t="str">
        <x:v>DOS-002</x:v>
      </x:c>
      <x:c r="B72" s="18" t="str">
        <x:v>Pool Dosierung Messung</x:v>
      </x:c>
      <x:c r="C72" s="18" t="str">
        <x:v>In Messzelle Steckplatz pH</x:v>
      </x:c>
      <x:c r="D72" s="18" t="str">
        <x:v>pH-Elektrode BNC</x:v>
      </x:c>
      <x:c r="E72" s="18" t="str">
        <x:v>Neu</x:v>
      </x:c>
      <x:c r="F72" s="18" t="n">
        <x:v>1</x:v>
      </x:c>
      <x:c r="G72" s="18" t="str">
        <x:v>Pool geeignet, BNC, 12 mm/PG13.5 passend zur Messzelle</x:v>
      </x:c>
      <x:c r="H72" s="18" t="str">
        <x:v>Misst pH-Wert</x:v>
      </x:c>
      <x:c r="I72" s="18" t="str">
        <x:v>https://www.idealo.de/preisvergleich/Liste/123483211/ph-elektrode-bnc-pool.html</x:v>
      </x:c>
      <x:c r="J72" s="18" t="n">
        <x:v>70</x:v>
      </x:c>
      <x:c r="K72" s="18" t="n">
        <x:f>IF(OR(F72="",J72=""),"",F72*J72)</x:f>
        <x:v>70</x:v>
      </x:c>
      <x:c r="L72" s="18" t="str">
        <x:v>hoch</x:v>
      </x:c>
      <x:c r="M72" s="18" t="str">
        <x:v>Billige Sonden möglich, aber regelmäßig kalibrieren/ersetzen</x:v>
      </x:c>
    </x:row>
    <x:row r="73">
      <x:c r="A73" s="18" t="str">
        <x:v>DOS-003</x:v>
      </x:c>
      <x:c r="B73" s="18" t="str">
        <x:v>Pool Dosierung Messung</x:v>
      </x:c>
      <x:c r="C73" s="18" t="str">
        <x:v>In Messzelle Steckplatz Redox</x:v>
      </x:c>
      <x:c r="D73" s="18" t="str">
        <x:v>Redox-/ORP-Elektrode BNC</x:v>
      </x:c>
      <x:c r="E73" s="18" t="str">
        <x:v>Neu</x:v>
      </x:c>
      <x:c r="F73" s="18" t="n">
        <x:v>1</x:v>
      </x:c>
      <x:c r="G73" s="18" t="str">
        <x:v>Pool geeignet, BNC, passend zur Messzelle</x:v>
      </x:c>
      <x:c r="H73" s="18" t="str">
        <x:v>Indirekte Chlorregelung über Redox</x:v>
      </x:c>
      <x:c r="I73" s="18" t="str">
        <x:v>https://www.idealo.de/preisvergleich/Liste/123492102/redox-elektrode-pool.html</x:v>
      </x:c>
      <x:c r="J73" s="18" t="n">
        <x:v>98</x:v>
      </x:c>
      <x:c r="K73" s="18" t="n">
        <x:f>IF(OR(F73="",J73=""),"",F73*J73)</x:f>
        <x:v>98</x:v>
      </x:c>
      <x:c r="L73" s="18" t="str">
        <x:v>hoch</x:v>
      </x:c>
      <x:c r="M73" s="18" t="str">
        <x:v>Freies Chlor separat per DPD prüfen/kalibrieren</x:v>
      </x:c>
    </x:row>
    <x:row r="74">
      <x:c r="A74" s="18" t="str">
        <x:v>DOS-004</x:v>
      </x:c>
      <x:c r="B74" s="18" t="str">
        <x:v>Pool Dosierung Elektronik</x:v>
      </x:c>
      <x:c r="C74" s="18" t="str">
        <x:v>Schaltschrank Poolsteuerung</x:v>
      </x:c>
      <x:c r="D74" s="18" t="str">
        <x:v>pH-Messumformer</x:v>
      </x:c>
      <x:c r="E74" s="18" t="str">
        <x:v>Neu</x:v>
      </x:c>
      <x:c r="F74" s="18" t="n">
        <x:v>1</x:v>
      </x:c>
      <x:c r="G74" s="18" t="str">
        <x:v>BNC → 0-10V/4-20mA/RS485-Modbus</x:v>
      </x:c>
      <x:c r="H74" s="18" t="str">
        <x:v>Wandelt pH-Elektrodensignal für eigene Steuerung</x:v>
      </x:c>
      <x:c r="I74" s="18" t="str">
        <x:v>https://www.antratek.de/industrial-ph-meter-sensor-modbus-rtu-rs485</x:v>
      </x:c>
      <x:c r="J74" s="18" t="n">
        <x:v>165</x:v>
      </x:c>
      <x:c r="K74" s="18" t="n">
        <x:f>IF(OR(F74="",J74=""),"",F74*J74)</x:f>
        <x:v>165</x:v>
      </x:c>
      <x:c r="L74" s="18" t="str">
        <x:v>hoch</x:v>
      </x:c>
      <x:c r="M74" s="18" t="str">
        <x:v>BNC direkt an RevPi-AI geht nicht sinnvoll ohne Messumformer</x:v>
      </x:c>
    </x:row>
    <x:row r="75">
      <x:c r="A75" s="18" t="str">
        <x:v>DOS-005</x:v>
      </x:c>
      <x:c r="B75" s="18" t="str">
        <x:v>Pool Dosierung Elektronik</x:v>
      </x:c>
      <x:c r="C75" s="18" t="str">
        <x:v>Schaltschrank Poolsteuerung</x:v>
      </x:c>
      <x:c r="D75" s="18" t="str">
        <x:v>Redox-/ORP-Messumformer</x:v>
      </x:c>
      <x:c r="E75" s="18" t="str">
        <x:v>Neu</x:v>
      </x:c>
      <x:c r="F75" s="18" t="n">
        <x:v>1</x:v>
      </x:c>
      <x:c r="G75" s="18" t="str">
        <x:v>BNC → 0-10V/4-20mA/RS485-Modbus</x:v>
      </x:c>
      <x:c r="H75" s="18" t="str">
        <x:v>Wandelt Redox-Signal für eigene Steuerung</x:v>
      </x:c>
      <x:c r="I75" s="18" t="str">
        <x:v>https://www.amazon.de/s?k=ph+orp+controller+rs485+modbus+4-20ma</x:v>
      </x:c>
      <x:c r="J75" s="18" t="n">
        <x:v>120</x:v>
      </x:c>
      <x:c r="K75" s="18" t="n">
        <x:f>IF(OR(F75="",J75=""),"",F75*J75)</x:f>
        <x:v>120</x:v>
      </x:c>
      <x:c r="L75" s="18" t="str">
        <x:v>hoch</x:v>
      </x:c>
      <x:c r="M75" s="18" t="str">
        <x:v>Modbus/4-20mA bevorzugt</x:v>
      </x:c>
    </x:row>
    <x:row r="76">
      <x:c r="A76" s="18" t="str">
        <x:v>DOS-006</x:v>
      </x:c>
      <x:c r="B76" s="18" t="str">
        <x:v>Pool Dosierung pH-</x:v>
      </x:c>
      <x:c r="C76" s="18" t="str">
        <x:v>Chemikalienwand, Kanister pH- → Impfventil</x:v>
      </x:c>
      <x:c r="D76" s="18" t="str">
        <x:v>Schlauchpumpe pH-</x:v>
      </x:c>
      <x:c r="E76" s="18" t="str">
        <x:v>Neu</x:v>
      </x:c>
      <x:c r="F76" s="18" t="n">
        <x:v>1</x:v>
      </x:c>
      <x:c r="G76" s="18" t="str">
        <x:v>12/24V oder 230V, per Relais/PWM schaltbar, chemikaliengeeignet</x:v>
      </x:c>
      <x:c r="H76" s="18" t="str">
        <x:v>Dosiert pH-Minus</x:v>
      </x:c>
      <x:c r="I76" s="18" t="str">
        <x:v>https://www.amazon.de/s?k=peristaltische+dosierpumpe+12v</x:v>
      </x:c>
      <x:c r="J76" s="18" t="n">
        <x:v>25</x:v>
      </x:c>
      <x:c r="K76" s="18" t="n">
        <x:f>IF(OR(F76="",J76=""),"",F76*J76)</x:f>
        <x:v>25</x:v>
      </x:c>
      <x:c r="L76" s="18" t="str">
        <x:v>hoch</x:v>
      </x:c>
      <x:c r="M76" s="18" t="str">
        <x:v>Schlauchmaterial säuregeeignet; Rückschlag/Impfventil</x:v>
      </x:c>
    </x:row>
    <x:row r="77">
      <x:c r="A77" s="18" t="str">
        <x:v>DOS-007</x:v>
      </x:c>
      <x:c r="B77" s="18" t="str">
        <x:v>Pool Dosierung Chlor</x:v>
      </x:c>
      <x:c r="C77" s="18" t="str">
        <x:v>Chemikalienwand, Kanister Chlor → Impfventil</x:v>
      </x:c>
      <x:c r="D77" s="18" t="str">
        <x:v>Schlauchpumpe Chlor</x:v>
      </x:c>
      <x:c r="E77" s="18" t="str">
        <x:v>Neu</x:v>
      </x:c>
      <x:c r="F77" s="18" t="n">
        <x:v>1</x:v>
      </x:c>
      <x:c r="G77" s="18" t="str">
        <x:v>12/24V oder 230V, chemikaliengeeignet</x:v>
      </x:c>
      <x:c r="H77" s="18" t="str">
        <x:v>Dosiert Flüssigchlor/Natriumhypochlorit</x:v>
      </x:c>
      <x:c r="I77" s="18" t="str">
        <x:v>https://www.amazon.de/s?k=peristaltische+dosierpumpe+12v</x:v>
      </x:c>
      <x:c r="J77" s="18" t="n">
        <x:v>25</x:v>
      </x:c>
      <x:c r="K77" s="18" t="n">
        <x:f>IF(OR(F77="",J77=""),"",F77*J77)</x:f>
        <x:v>25</x:v>
      </x:c>
      <x:c r="L77" s="18" t="str">
        <x:v>hoch</x:v>
      </x:c>
      <x:c r="M77" s="18" t="str">
        <x:v>Chlorbeständige Schläuche, getrennt von Säure</x:v>
      </x:c>
    </x:row>
    <x:row r="78">
      <x:c r="A78" s="18" t="str">
        <x:v>DOS-008</x:v>
      </x:c>
      <x:c r="B78" s="18" t="str">
        <x:v>Pool Dosierung Flockung</x:v>
      </x:c>
      <x:c r="C78" s="18" t="str">
        <x:v>Chemikalienwand, Kanister Flockung → Impfventil</x:v>
      </x:c>
      <x:c r="D78" s="18" t="str">
        <x:v>Schlauchpumpe Flockungsmittel</x:v>
      </x:c>
      <x:c r="E78" s="18" t="str">
        <x:v>Neu</x:v>
      </x:c>
      <x:c r="F78" s="18" t="n">
        <x:v>1</x:v>
      </x:c>
      <x:c r="G78" s="18" t="str">
        <x:v>kleine Fördermenge, chemikaliengeeignet</x:v>
      </x:c>
      <x:c r="H78" s="18" t="str">
        <x:v>Dosiert Flockungsmittel</x:v>
      </x:c>
      <x:c r="I78" s="18" t="str">
        <x:v>https://www.amazon.de/s?k=peristaltische+dosierpumpe+12v</x:v>
      </x:c>
      <x:c r="J78" s="18" t="n">
        <x:v>25</x:v>
      </x:c>
      <x:c r="K78" s="18" t="n">
        <x:f>IF(OR(F78="",J78=""),"",F78*J78)</x:f>
        <x:v>25</x:v>
      </x:c>
      <x:c r="L78" s="18" t="str">
        <x:v>mittel</x:v>
      </x:c>
      <x:c r="M78" s="18" t="str">
        <x:v>Deutlich kleinere Dosiermengen nötig</x:v>
      </x:c>
    </x:row>
    <x:row r="79">
      <x:c r="A79" s="18" t="str">
        <x:v>DOS-009</x:v>
      </x:c>
      <x:c r="B79" s="18" t="str">
        <x:v>Pool Dosierung Einspritzung</x:v>
      </x:c>
      <x:c r="C79" s="18" t="str">
        <x:v>Pool-Rücklaufleitung nach Messung/WT, pH- Stelle</x:v>
      </x:c>
      <x:c r="D79" s="18" t="str">
        <x:v>Impfventil pH-</x:v>
      </x:c>
      <x:c r="E79" s="18" t="str">
        <x:v>Neu</x:v>
      </x:c>
      <x:c r="F79" s="18" t="n">
        <x:v>1</x:v>
      </x:c>
      <x:c r="G79" s="18" t="str">
        <x:v>1/2" × 4/6 mm</x:v>
      </x:c>
      <x:c r="H79" s="18" t="str">
        <x:v>Einspritzpunkt pH-Minus</x:v>
      </x:c>
      <x:c r="I79" s="18" t="str">
        <x:v>https://www.idealo.de/preisvergleich/Liste/122043962/impfventil-1-2.html</x:v>
      </x:c>
      <x:c r="J79" s="18" t="n">
        <x:v>18</x:v>
      </x:c>
      <x:c r="K79" s="18" t="n">
        <x:f>IF(OR(F79="",J79=""),"",F79*J79)</x:f>
        <x:v>18</x:v>
      </x:c>
      <x:c r="L79" s="18" t="str">
        <x:v>hoch</x:v>
      </x:c>
      <x:c r="M79" s="18" t="str">
        <x:v>Nicht direkt neben Chlor-Impfstelle</x:v>
      </x:c>
    </x:row>
    <x:row r="80">
      <x:c r="A80" s="18" t="str">
        <x:v>DOS-010</x:v>
      </x:c>
      <x:c r="B80" s="18" t="str">
        <x:v>Pool Dosierung Einspritzung</x:v>
      </x:c>
      <x:c r="C80" s="18" t="str">
        <x:v>Pool-Rücklaufleitung nach pH- mit Abstand, Chlor Stelle</x:v>
      </x:c>
      <x:c r="D80" s="18" t="str">
        <x:v>Impfventil Chlor</x:v>
      </x:c>
      <x:c r="E80" s="18" t="str">
        <x:v>Neu</x:v>
      </x:c>
      <x:c r="F80" s="18" t="n">
        <x:v>1</x:v>
      </x:c>
      <x:c r="G80" s="18" t="str">
        <x:v>1/2" × 4/6 mm</x:v>
      </x:c>
      <x:c r="H80" s="18" t="str">
        <x:v>Einspritzpunkt Chlor</x:v>
      </x:c>
      <x:c r="I80" s="18" t="str">
        <x:v>https://www.idealo.de/preisvergleich/Liste/122043962/impfventil-1-2.html</x:v>
      </x:c>
      <x:c r="J80" s="18" t="n">
        <x:v>18</x:v>
      </x:c>
      <x:c r="K80" s="18" t="n">
        <x:f>IF(OR(F80="",J80=""),"",F80*J80)</x:f>
        <x:v>18</x:v>
      </x:c>
      <x:c r="L80" s="18" t="str">
        <x:v>hoch</x:v>
      </x:c>
      <x:c r="M80" s="18" t="str">
        <x:v>Abstand zur Säure-Impfstelle einhalten</x:v>
      </x:c>
    </x:row>
    <x:row r="81">
      <x:c r="A81" s="18" t="str">
        <x:v>DOS-011</x:v>
      </x:c>
      <x:c r="B81" s="18" t="str">
        <x:v>Pool Dosierung Einspritzung</x:v>
      </x:c>
      <x:c r="C81" s="18" t="str">
        <x:v>Pool-Rücklaufleitung nach Chlor mit Abstand, Flockung Stelle</x:v>
      </x:c>
      <x:c r="D81" s="18" t="str">
        <x:v>Impfventil Flockungsmittel</x:v>
      </x:c>
      <x:c r="E81" s="18" t="str">
        <x:v>Neu</x:v>
      </x:c>
      <x:c r="F81" s="18" t="n">
        <x:v>1</x:v>
      </x:c>
      <x:c r="G81" s="18" t="str">
        <x:v>1/2" × 4/6 mm</x:v>
      </x:c>
      <x:c r="H81" s="18" t="str">
        <x:v>Einspritzpunkt Flockung</x:v>
      </x:c>
      <x:c r="I81" s="18" t="str">
        <x:v>https://www.idealo.de/preisvergleich/Liste/122043962/impfventil-1-2.html</x:v>
      </x:c>
      <x:c r="J81" s="18" t="n">
        <x:v>18</x:v>
      </x:c>
      <x:c r="K81" s="18" t="n">
        <x:f>IF(OR(F81="",J81=""),"",F81*J81)</x:f>
        <x:v>18</x:v>
      </x:c>
      <x:c r="L81" s="18" t="str">
        <x:v>mittel</x:v>
      </x:c>
      <x:c r="M81" s="18" t="str">
        <x:v>Position nach Filterkonzept prüfen</x:v>
      </x:c>
    </x:row>
    <x:row r="82">
      <x:c r="A82" s="18" t="str">
        <x:v>DOS-012</x:v>
      </x:c>
      <x:c r="B82" s="18" t="str">
        <x:v>Pool Dosierung Chemie</x:v>
      </x:c>
      <x:c r="C82" s="18" t="str">
        <x:v>Von Kanistern zu Pumpen/Impfventilen</x:v>
      </x:c>
      <x:c r="D82" s="18" t="str">
        <x:v>Dosierschlauch</x:v>
      </x:c>
      <x:c r="E82" s="18" t="str">
        <x:v>Neu</x:v>
      </x:c>
      <x:c r="F82" s="18" t="n">
        <x:v>30</x:v>
      </x:c>
      <x:c r="G82" s="18" t="str">
        <x:v>4×6 mm PE/PTFE/PVC passend</x:v>
      </x:c>
      <x:c r="H82" s="18" t="str">
        <x:v>Saug-/Druckleitungen der Dosierpumpen</x:v>
      </x:c>
      <x:c r="I82" s="18" t="str">
        <x:v>https://www.amazon.de/s?k=dosierschlauch+4x6+pool</x:v>
      </x:c>
      <x:c r="J82" s="18" t="n">
        <x:v>1</x:v>
      </x:c>
      <x:c r="K82" s="18" t="n">
        <x:f>IF(OR(F82="",J82=""),"",F82*J82)</x:f>
        <x:v>30</x:v>
      </x:c>
      <x:c r="L82" s="18" t="str">
        <x:v>hoch</x:v>
      </x:c>
      <x:c r="M82" s="18" t="str">
        <x:v>Chlor/Säure kompatibel wählen</x:v>
      </x:c>
    </x:row>
    <x:row r="83">
      <x:c r="A83" s="18" t="str">
        <x:v>DOS-013</x:v>
      </x:c>
      <x:c r="B83" s="18" t="str">
        <x:v>Pool Dosierung Chemie</x:v>
      </x:c>
      <x:c r="C83" s="18" t="str">
        <x:v>Chemikalienwand</x:v>
      </x:c>
      <x:c r="D83" s="18" t="str">
        <x:v>Sauglanzen / Fußventile</x:v>
      </x:c>
      <x:c r="E83" s="18" t="str">
        <x:v>Neu</x:v>
      </x:c>
      <x:c r="F83" s="18" t="n">
        <x:v>3</x:v>
      </x:c>
      <x:c r="G83" s="18" t="str">
        <x:v>für Kanister, 4×6 mm</x:v>
      </x:c>
      <x:c r="H83" s="18" t="str">
        <x:v>Saugleitung in Kanister mit Rückschlag/Filter</x:v>
      </x:c>
      <x:c r="I83" s="18" t="str">
        <x:v>https://www.amazon.de/s?k=dosierschlauch+4x6+pool</x:v>
      </x:c>
      <x:c r="J83" s="18" t="n">
        <x:v>15</x:v>
      </x:c>
      <x:c r="K83" s="18" t="n">
        <x:f>IF(OR(F83="",J83=""),"",F83*J83)</x:f>
        <x:v>45</x:v>
      </x:c>
      <x:c r="L83" s="18" t="str">
        <x:v>hoch</x:v>
      </x:c>
      <x:c r="M83" s="18" t="str">
        <x:v>Für jeden Kanister getrennt</x:v>
      </x:c>
    </x:row>
    <x:row r="84">
      <x:c r="A84" s="18" t="str">
        <x:v>DOS-014</x:v>
      </x:c>
      <x:c r="B84" s="18" t="str">
        <x:v>Pool Dosierung Chemie</x:v>
      </x:c>
      <x:c r="C84" s="18" t="str">
        <x:v>Chemikalienlager</x:v>
      </x:c>
      <x:c r="D84" s="18" t="str">
        <x:v>Chemikalienkanister / Auffangwannen</x:v>
      </x:c>
      <x:c r="E84" s="18" t="str">
        <x:v>Neu</x:v>
      </x:c>
      <x:c r="F84" s="18" t="n">
        <x:v>3</x:v>
      </x:c>
      <x:c r="G84" s="18" t="str">
        <x:v>20 l Kanister + Auffangwanne</x:v>
      </x:c>
      <x:c r="H84" s="18" t="str">
        <x:v>Sichere Lagerung pH-, Chlor, Flockung</x:v>
      </x:c>
      <x:c r="I84" s="18" t="str">
        <x:v>https://www.amazon.de/s?k=kanister+20l+chemikalien+dosierpumpe</x:v>
      </x:c>
      <x:c r="J84" s="18" t="n">
        <x:v>12</x:v>
      </x:c>
      <x:c r="K84" s="18" t="n">
        <x:f>IF(OR(F84="",J84=""),"",F84*J84)</x:f>
        <x:v>36</x:v>
      </x:c>
      <x:c r="L84" s="18" t="str">
        <x:v>hoch</x:v>
      </x:c>
      <x:c r="M84" s="18" t="str">
        <x:v>Säure und Chlor räumlich getrennt lagern</x:v>
      </x:c>
    </x:row>
    <x:row r="85">
      <x:c r="A85" s="18" t="str">
        <x:v>DOS-015</x:v>
      </x:c>
      <x:c r="B85" s="18" t="str">
        <x:v>Pool Dosierung Wartung</x:v>
      </x:c>
      <x:c r="C85" s="18" t="str">
        <x:v>Mess-/Dosieranlage</x:v>
      </x:c>
      <x:c r="D85" s="18" t="str">
        <x:v>Kalibrierlösungen pH/Redox</x:v>
      </x:c>
      <x:c r="E85" s="18" t="str">
        <x:v>Neu</x:v>
      </x:c>
      <x:c r="F85" s="18" t="n">
        <x:v>1</x:v>
      </x:c>
      <x:c r="G85" s="18" t="str">
        <x:v>pH 7, pH 4/10, Redox 465 mV</x:v>
      </x:c>
      <x:c r="H85" s="18" t="str">
        <x:v>Kalibrierung und Kontrolle der Sonden</x:v>
      </x:c>
      <x:c r="I85" s="18" t="str">
        <x:v>https://www.amazon.de/s?k=pH+Redox+Kalibrierl%C3%B6sung+Pool</x:v>
      </x:c>
      <x:c r="J85" s="18" t="n">
        <x:v>25</x:v>
      </x:c>
      <x:c r="K85" s="18" t="n">
        <x:f>IF(OR(F85="",J85=""),"",F85*J85)</x:f>
        <x:v>25</x:v>
      </x:c>
      <x:c r="L85" s="18" t="str">
        <x:v>hoch</x:v>
      </x:c>
      <x:c r="M85" s="18" t="str">
        <x:v>Regelmäßig neu kaufen</x:v>
      </x:c>
    </x:row>
    <x:row r="86">
      <x:c r="A86" s="18" t="str">
        <x:v>DOS-016</x:v>
      </x:c>
      <x:c r="B86" s="18" t="str">
        <x:v>Pool Dosierung Sicherheit</x:v>
      </x:c>
      <x:c r="C86" s="18" t="str">
        <x:v>Poolsteuerung, in Reihe zu Dosierfreigabe</x:v>
      </x:c>
      <x:c r="D86" s="18" t="str">
        <x:v>Not-Aus / Dosierfreigabe-Relais</x:v>
      </x:c>
      <x:c r="E86" s="18" t="str">
        <x:v>Neu</x:v>
      </x:c>
      <x:c r="F86" s="18" t="n">
        <x:v>1</x:v>
      </x:c>
      <x:c r="G86" s="18" t="str">
        <x:v>24V/230V passend</x:v>
      </x:c>
      <x:c r="H86" s="18" t="str">
        <x:v>Dosierpumpen nur bei Durchfluss/Filterbetrieb freigeben</x:v>
      </x:c>
      <x:c r="I86" s="18" t="str">
        <x:v>https://www.amazon.de/s?k=hutschiene+koppelrelais+24v+230v</x:v>
      </x:c>
      <x:c r="J86" s="18" t="n">
        <x:v>20</x:v>
      </x:c>
      <x:c r="K86" s="18" t="n">
        <x:f>IF(OR(F86="",J86=""),"",F86*J86)</x:f>
        <x:v>20</x:v>
      </x:c>
      <x:c r="L86" s="18" t="str">
        <x:v>hoch</x:v>
      </x:c>
      <x:c r="M86" s="18" t="str">
        <x:v>Chlor und Säure nie bei stehendem Wasser dosieren</x:v>
      </x:c>
    </x:row>
    <x:row r="87">
      <x:c r="A87" s="18" t="str">
        <x:v>ALL-001</x:v>
      </x:c>
      <x:c r="B87" s="18" t="str">
        <x:v>Fittings allgemein</x:v>
      </x:c>
      <x:c r="C87" s="18" t="str">
        <x:v>Alle PP-RCT Übergänge Rohr ↔ Gewinde/Pumpen/Ventile</x:v>
      </x:c>
      <x:c r="D87" s="18" t="str">
        <x:v>PP-RCT Fittings/Übergänge</x:v>
      </x:c>
      <x:c r="E87" s="18" t="str">
        <x:v>Neu</x:v>
      </x:c>
      <x:c r="F87" s="18" t="n">
        <x:v>1</x:v>
      </x:c>
      <x:c r="G87" s="18" t="str">
        <x:v>Pauschal 40/50/63 mm, Gewinde 1"/1¼"</x:v>
      </x:c>
      <x:c r="H87" s="18" t="str">
        <x:v>Muffen, T-Stücke, Reduzierungen, Übergänge zu Pumpen/Ventilen</x:v>
      </x:c>
      <x:c r="I87" s="18" t="str">
        <x:v>https://www.rohrleitungssysteme.de/pp-r-rohrsysteme/index.php?zurueck=1</x:v>
      </x:c>
      <x:c r="J87" s="18" t="n">
        <x:v>350</x:v>
      </x:c>
      <x:c r="K87" s="18" t="n">
        <x:f>IF(OR(F87="",J87=""),"",F87*J87)</x:f>
        <x:v>350</x:v>
      </x:c>
      <x:c r="L87" s="18" t="str">
        <x:v>hoch</x:v>
      </x:c>
      <x:c r="M87" s="18" t="str">
        <x:v>Als Pauschalposition; genaue Stückliste nach Aufmaß</x:v>
      </x:c>
    </x:row>
    <x:row r="88">
      <x:c r="A88" s="18" t="str">
        <x:v>ALL-002</x:v>
      </x:c>
      <x:c r="B88" s="18" t="str">
        <x:v>Fittings allgemein</x:v>
      </x:c>
      <x:c r="C88" s="18" t="str">
        <x:v>Alle neuen Pumpen</x:v>
      </x:c>
      <x:c r="D88" s="18" t="str">
        <x:v>Pumpenverschraubungen</x:v>
      </x:c>
      <x:c r="E88" s="18" t="str">
        <x:v>Neu</x:v>
      </x:c>
      <x:c r="F88" s="18" t="n">
        <x:v>5</x:v>
      </x:c>
      <x:c r="G88" s="18" t="str">
        <x:v>1½" Pumpenseite auf 1"/1¼" Rohrseite</x:v>
      </x:c>
      <x:c r="H88" s="18" t="str">
        <x:v>Anschluss der Heizungs-/Pool-/Nebengebäudepumpen</x:v>
      </x:c>
      <x:c r="I88" s="18" t="str">
        <x:v>https://chm-pumpen.de/Heizungspumpe-Auto-25-80-180/248</x:v>
      </x:c>
      <x:c r="J88" s="18" t="n">
        <x:v>12</x:v>
      </x:c>
      <x:c r="K88" s="18" t="n">
        <x:f>IF(OR(F88="",J88=""),"",F88*J88)</x:f>
        <x:v>60</x:v>
      </x:c>
      <x:c r="L88" s="18" t="str">
        <x:v>hoch</x:v>
      </x:c>
      <x:c r="M88" s="18" t="str">
        <x:v>Oft im Lieferumfang, trotzdem einplanen</x:v>
      </x:c>
    </x:row>
    <x:row r="89">
      <x:c r="A89" s="18" t="str">
        <x:v>ALL-003</x:v>
      </x:c>
      <x:c r="B89" s="18" t="str">
        <x:v>Fittings allgemein</x:v>
      </x:c>
      <x:c r="C89" s="18" t="str">
        <x:v>Alle neuen Rohrstrecken</x:v>
      </x:c>
      <x:c r="D89" s="18" t="str">
        <x:v>Rohrschellen/Festpunkte/Gleitpunkte</x:v>
      </x:c>
      <x:c r="E89" s="18" t="str">
        <x:v>Neu</x:v>
      </x:c>
      <x:c r="F89" s="18" t="n">
        <x:v>1</x:v>
      </x:c>
      <x:c r="G89" s="18" t="str">
        <x:v>für 40/50/63 mm</x:v>
      </x:c>
      <x:c r="H89" s="18" t="str">
        <x:v>Befestigung und Dehnungsausgleich PP-RCT</x:v>
      </x:c>
      <x:c r="I89" s="18" t="str">
        <x:v>https://www.amazon.de/s?k=rohrisolierung+63mm+heizung</x:v>
      </x:c>
      <x:c r="J89" s="18" t="n">
        <x:v>120</x:v>
      </x:c>
      <x:c r="K89" s="18" t="n">
        <x:f>IF(OR(F89="",J89=""),"",F89*J89)</x:f>
        <x:v>120</x:v>
      </x:c>
      <x:c r="L89" s="18" t="str">
        <x:v>hoch</x:v>
      </x:c>
      <x:c r="M89" s="18" t="str">
        <x:v>PP-RCT-Längenausdehnung beachten</x:v>
      </x:c>
    </x:row>
    <x:row r="90">
      <x:c r="A90" s="18" t="str">
        <x:v>ALL-004</x:v>
      </x:c>
      <x:c r="B90" s="18" t="str">
        <x:v>Elektrik/Steuerung</x:v>
      </x:c>
      <x:c r="C90" s="18" t="str">
        <x:v>Schaltschrank Heizungsraum/Keller</x:v>
      </x:c>
      <x:c r="D90" s="18" t="str">
        <x:v>Koppelrelais für Pumpen/Ventile</x:v>
      </x:c>
      <x:c r="E90" s="18" t="str">
        <x:v>Neu</x:v>
      </x:c>
      <x:c r="F90" s="18" t="n">
        <x:v>20</x:v>
      </x:c>
      <x:c r="G90" s="18" t="str">
        <x:v>24V DC Spule → 230V Last / potentialfrei</x:v>
      </x:c>
      <x:c r="H90" s="18" t="str">
        <x:v>Ausgänge RevPi auf Pumpen/Ventile/Freigaben</x:v>
      </x:c>
      <x:c r="I90" s="18" t="str">
        <x:v>https://www.amazon.de/s?k=hutschiene+koppelrelais+24v+230v</x:v>
      </x:c>
      <x:c r="J90" s="18" t="n">
        <x:v>8</x:v>
      </x:c>
      <x:c r="K90" s="18" t="n">
        <x:f>IF(OR(F90="",J90=""),"",F90*J90)</x:f>
        <x:v>160</x:v>
      </x:c>
      <x:c r="L90" s="18" t="str">
        <x:v>hoch</x:v>
      </x:c>
      <x:c r="M90" s="18" t="str">
        <x:v>Lasten sauber absichern</x:v>
      </x:c>
    </x:row>
    <x:row r="91">
      <x:c r="A91" s="18" t="str">
        <x:v>ALL-005</x:v>
      </x:c>
      <x:c r="B91" s="18" t="str">
        <x:v>Elektrik/Steuerung</x:v>
      </x:c>
      <x:c r="C91" s="18" t="str">
        <x:v>Sensorik und Ventile</x:v>
      </x:c>
      <x:c r="D91" s="18" t="str">
        <x:v>Steuerleitung / Aderleitung</x:v>
      </x:c>
      <x:c r="E91" s="18" t="str">
        <x:v>Neu</x:v>
      </x:c>
      <x:c r="F91" s="18" t="n">
        <x:v>1</x:v>
      </x:c>
      <x:c r="G91" s="18" t="str">
        <x:v>LIYY/J-Y(St)Y/Ölflex je nach Strecke</x:v>
      </x:c>
      <x:c r="H91" s="18" t="str">
        <x:v>Verdrahtung Fühler, Ventile, Pumpenfreigaben</x:v>
      </x:c>
      <x:c r="I91" s="18" t="str">
        <x:v>https://www.amazon.de/s?k=steuerleitung+liyy+0%2C75</x:v>
      </x:c>
      <x:c r="J91" s="18" t="n">
        <x:v>80</x:v>
      </x:c>
      <x:c r="K91" s="18" t="n">
        <x:f>IF(OR(F91="",J91=""),"",F91*J91)</x:f>
        <x:v>80</x:v>
      </x:c>
      <x:c r="L91" s="18" t="str">
        <x:v>mittel</x:v>
      </x:c>
      <x:c r="M91" s="18" t="str">
        <x:v>Separat von 230V verlegen</x:v>
      </x:c>
    </x:row>
    <x:row r="92">
      <x:c r="A92" s="18" t="str">
        <x:v>ALL-006</x:v>
      </x:c>
      <x:c r="B92" s="18" t="str">
        <x:v>Dokumentation/Inbetriebnahme</x:v>
      </x:c>
      <x:c r="C92" s="18" t="str">
        <x:v>Gesamtanlage</x:v>
      </x:c>
      <x:c r="D92" s="18" t="str">
        <x:v>Beschriftungsmaterial / Kabelmarker / Rohrkennzeichnung</x:v>
      </x:c>
      <x:c r="E92" s="18" t="str">
        <x:v>Neu</x:v>
      </x:c>
      <x:c r="F92" s="18" t="n">
        <x:v>1</x:v>
      </x:c>
      <x:c r="G92" s="18" t="str">
        <x:v>Etiketten, Schildchen, Fließrichtungspfeile</x:v>
      </x:c>
      <x:c r="H92" s="18" t="str">
        <x:v>Verhindert spätere Fehlinterpretation</x:v>
      </x:c>
      <x:c r="I92" s="18" t="str">
        <x:v>https://www.amazon.de/s?k=steuerleitung+liyy+0%2C75</x:v>
      </x:c>
      <x:c r="J92" s="18" t="n">
        <x:v>30</x:v>
      </x:c>
      <x:c r="K92" s="18" t="n">
        <x:f>IF(OR(F92="",J92=""),"",F92*J92)</x:f>
        <x:v>30</x:v>
      </x:c>
      <x:c r="L92" s="18" t="str">
        <x:v>mittel</x:v>
      </x:c>
      <x:c r="M92" s="18" t="str">
        <x:v>Jede Pumpe, jedes Ventil, jeder Sensor beschriften</x:v>
      </x:c>
    </x:row>
  </x:sheetData>
  <x:conditionalFormatting sqref="E2:E92">
    <x:cfRule type="expression" dxfId="0" priority="1">
      <x:formula>ISNUMBER(SEARCH("Neu",E2))</x:formula>
    </x:cfRule>
    <x:cfRule type="expression" dxfId="1" priority="2">
      <x:formula>ISNUMBER(SEARCH("Bestand",E2))</x:formula>
    </x:cfRule>
    <x:cfRule type="expression" dxfId="2" priority="3">
      <x:formula>ISNUMBER(SEARCH("Optional",E2))</x:formula>
    </x:cfRule>
  </x:conditionalFormatting>
  <x:dataValidations count="1">
    <x:dataValidation type="list" sqref="L2:L92">
      <x:formula1>"hoch,mittel,niedrig"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dcea163d984c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5" hidden="0" customWidth="1"/>
    <x:col min="3" max="3" width="80" hidden="0" customWidth="1"/>
  </x:cols>
  <x:sheetData>
    <x:row r="1">
      <x:c r="A1" s="6" t="str">
        <x:v>Bereich</x:v>
      </x:c>
      <x:c r="B1" s="6" t="str">
        <x:v>Empfehlung</x:v>
      </x:c>
      <x:c r="C1" s="6" t="str">
        <x:v>Begründung / Hinweis</x:v>
      </x:c>
    </x:row>
    <x:row r="2">
      <x:c r="A2" s="18" t="str">
        <x:v>WP1/WP2 jeweils bis WP-Sammelschiene</x:v>
      </x:c>
      <x:c r="B2" s="18" t="str">
        <x:v>50 mm PP-RCT, sauerstoffdicht</x:v>
      </x:c>
      <x:c r="C2" s="18" t="str">
        <x:v>Kurze Einzelanbindung je WP; WP-Anschluss 1" nur kurz flexibel, danach größer</x:v>
      </x:c>
    </x:row>
    <x:row r="3">
      <x:c r="A3" s="18" t="str">
        <x:v>WP-Sammelschiene → Heizungsraum über Dach/First</x:v>
      </x:c>
      <x:c r="B3" s="18" t="str">
        <x:v>63 mm PP-RCT als Sparvariante; 75 mm besser</x:v>
      </x:c>
      <x:c r="C3" s="18" t="str">
        <x:v>Durch Firstweg ca. 25 m je Richtung; 63 mm spart Werkzeug/Material, 75 mm hydraulisch besser</x:v>
      </x:c>
    </x:row>
    <x:row r="4">
      <x:c r="A4" s="18" t="str">
        <x:v>Heizungsraum Hauptsammler</x:v>
      </x:c>
      <x:c r="B4" s="18" t="str">
        <x:v>mind. DN50/63, mehrere Abgänge</x:v>
      </x:c>
      <x:c r="C4" s="18" t="str">
        <x:v>Ölbrenner, Pool, Nebengebäude und Haupthaus separat abgreifen</x:v>
      </x:c>
    </x:row>
    <x:row r="5">
      <x:c r="A5" s="18" t="str">
        <x:v>Heizungsraum → Haupthaus</x:v>
      </x:c>
      <x:c r="B5" s="18" t="str">
        <x:v>Bestandsleitung bleibt; bis Übergang möglichst nicht weiter verengen</x:v>
      </x:c>
      <x:c r="C5" s="18" t="str">
        <x:v>Versorgt nur Haupthaus ca. 13 kW; dynamische VL/Spreizung 7–10 K</x:v>
      </x:c>
    </x:row>
    <x:row r="6">
      <x:c r="A6" s="18" t="str">
        <x:v>Haupthaus-Sammelschiene</x:v>
      </x:c>
      <x:c r="B6" s="18" t="str">
        <x:v>3 Abgänge</x:v>
      </x:c>
      <x:c r="C6" s="18" t="str">
        <x:v>FBH Bestand, Radiatoren Bestand, Kaltwassergeräte neu</x:v>
      </x:c>
    </x:row>
    <x:row r="7">
      <x:c r="A7" s="18" t="str">
        <x:v>Pool-WT</x:v>
      </x:c>
      <x:c r="B7" s="18" t="str">
        <x:v>mind. 50 kW, Poolmaterial prüfen</x:v>
      </x:c>
      <x:c r="C7" s="18" t="str">
        <x:v>Pool 35 °C ganzjährig; Chlorid/Salz kann Edelstahl begrenzen, ggf. Titan</x:v>
      </x:c>
    </x:row>
    <x:row r="8">
      <x:c r="A8" s="18" t="str">
        <x:v>Brunnen-WT</x:v>
      </x:c>
      <x:c r="B8" s="18" t="str">
        <x:v>30–60 kW oder größer, reinigbar/absperrbar</x:v>
      </x:c>
      <x:c r="C8" s="18" t="str">
        <x:v>Freie Kühlung; Brunnenwasser kann verschmutzen, Filter vor WT</x:v>
      </x:c>
    </x:row>
    <x:row r="9">
      <x:c r="A9" s="18" t="str">
        <x:v>Dosierung</x:v>
      </x:c>
      <x:c r="B9" s="18" t="str">
        <x:v>Messzelle + pH/Redox + 3 Schlauchpumpen</x:v>
      </x:c>
      <x:c r="C9" s="18" t="str">
        <x:v>Eigene Steuerung statt Fertiganlage; Durchflussverriegelung zwingend</x:v>
      </x:c>
    </x:row>
    <x:row r="10">
      <x:c r="A10" s="18" t="str">
        <x:v>Entlüftung First</x:v>
      </x:c>
      <x:c r="B10" s="18" t="str">
        <x:v>je VL/RL T-Stück + Kugelhahn + Autoentlüfter</x:v>
      </x:c>
      <x:c r="C10" s="18" t="str">
        <x:v>Höchster Punkt sammelt Luft; Kugelhahn zum Tauschen</x:v>
      </x:c>
    </x:row>
    <x:row r="11">
      <x:c r="A11" s="18" t="str">
        <x:v>MAG</x:v>
      </x:c>
      <x:c r="B11" s="18" t="str">
        <x:v>Bestand bleibt, Größe/Einstellung prüfen</x:v>
      </x:c>
      <x:c r="C11" s="18" t="str">
        <x:v>Bei zusätzlichem Wasservolumen der neuen Leitungen ggf. größer nötig</x:v>
      </x:c>
    </x:row>
  </x:sheetData>
  <x:pageMargins left="0.7" right="0.7" top="0.75" bottom="0.75" header="0.3" footer="0.3"/>
  <x:tableParts count="1">
    <x:tablePart xmlns:r="http://schemas.openxmlformats.org/officeDocument/2006/relationships" r:id="R2d767672baef42b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5" hidden="0" customWidth="1"/>
    <x:col min="2" max="2" width="42" hidden="0" customWidth="1"/>
    <x:col min="3" max="3" width="45" hidden="0" customWidth="1"/>
  </x:cols>
  <x:sheetData>
    <x:row r="1">
      <x:c r="A1" s="6" t="str">
        <x:v>Quelle / Link</x:v>
      </x:c>
      <x:c r="B1" s="6" t="str">
        <x:v>Wofür verwendet</x:v>
      </x:c>
      <x:c r="C1" s="6" t="str">
        <x:v>Stand / Hinweis</x:v>
      </x:c>
    </x:row>
    <x:row r="2">
      <x:c r="A2" s="18" t="str">
        <x:v>https://www.kwerk.de/rohrsysteme/pp-rct-rohrsysteme/pp-rct-rohre/rohre-mehrlagig/stabitec-ct/pp-rct-alu-druckrohr-stabitec-ct-20mpa-gruen/</x:v>
      </x:c>
      <x:c r="B2" s="18" t="str">
        <x:v>PP-RCT Stabi/Alu sauerstoffdicht nach DIN 4726; Rohr/Fitting-Quelle</x:v>
      </x:c>
      <x:c r="C2" s="18" t="str">
        <x:v>Preis/Verfügbarkeit prüfen</x:v>
      </x:c>
    </x:row>
    <x:row r="3">
      <x:c r="A3" s="18" t="str">
        <x:v>https://www.rohrleitungssysteme.de/pp-r-rohrsysteme/index.php?zurueck=1</x:v>
      </x:c>
      <x:c r="B3" s="18" t="str">
        <x:v>PP-R/PP-RCT Rohrsysteme und Fittings</x:v>
      </x:c>
      <x:c r="C3" s="18" t="str">
        <x:v>Alternative Quelle / Kategorie</x:v>
      </x:c>
    </x:row>
    <x:row r="4">
      <x:c r="A4" s="18" t="str">
        <x:v>https://www.plast24.de/kunststoffsysteme/pp-r-rct-rohrsysteme/werkzeuge/schweissgeraet/</x:v>
      </x:c>
      <x:c r="B4" s="18" t="str">
        <x:v>PP-RCT/PPR Schweißwerkzeuge</x:v>
      </x:c>
      <x:c r="C4" s="18" t="str">
        <x:v>System-/Werkzeugbezug</x:v>
      </x:c>
    </x:row>
    <x:row r="5">
      <x:c r="A5" s="18" t="str">
        <x:v>https://chm-pumpen.de/Heizungspumpe-Auto-25-80-180/248</x:v>
      </x:c>
      <x:c r="B5" s="18" t="str">
        <x:v>Günstige 25-80 Heizungspumpe</x:v>
      </x:c>
      <x:c r="C5" s="18" t="str">
        <x:v>Billigvariante</x:v>
      </x:c>
    </x:row>
    <x:row r="6">
      <x:c r="A6" s="18" t="str">
        <x:v>https://www.idealo.de/preisvergleich/OffersOfProduct/5142303_-alpha2-32-80-180mm-grundfos.html</x:v>
      </x:c>
      <x:c r="B6" s="18" t="str">
        <x:v>Grundfos Alpha2 32-80 Preisvergleich</x:v>
      </x:c>
      <x:c r="C6" s="18" t="str">
        <x:v>Premium-/Vergleichspumpe</x:v>
      </x:c>
    </x:row>
    <x:row r="7">
      <x:c r="A7" s="18" t="str">
        <x:v>https://www.idealo.de/preisvergleich/Liste/116030402/2-wege-motorkugelhahn-230v.html</x:v>
      </x:c>
      <x:c r="B7" s="18" t="str">
        <x:v>2-Wege Motorkugelhahn 230 V Preisvergleich</x:v>
      </x:c>
      <x:c r="C7" s="18" t="str">
        <x:v>Billig-/Suchlink, technische Eignung prüfen</x:v>
      </x:c>
    </x:row>
    <x:row r="8">
      <x:c r="A8" s="18" t="str">
        <x:v>https://www.amazon.de/wege-motorkugelhahn-230v-elektrisch-kugelventil/dp/B07GCGFQ47</x:v>
      </x:c>
      <x:c r="B8" s="18" t="str">
        <x:v>3-Wege Motorkugelhahn 230 V Beispiel</x:v>
      </x:c>
      <x:c r="C8" s="18" t="str">
        <x:v>Billig-/Suchlink, technische Eignung prüfen</x:v>
      </x:c>
    </x:row>
    <x:row r="9">
      <x:c r="A9" s="18" t="str">
        <x:v>https://www.wiltec.de/wiltec-waermetauscher-50-platten-max.-285-kw-12-m3-h-2-50-l-je-durchgang-plattenwaermetauscher-aus-edelstahl-als-waermeuebertraeger/50683</x:v>
      </x:c>
      <x:c r="B9" s="18" t="str">
        <x:v>Plattenwärmetauscher groß / Brunnenkühlung</x:v>
      </x:c>
      <x:c r="C9" s="18" t="str">
        <x:v>Edelstahl, Dimensionierung prüfen</x:v>
      </x:c>
    </x:row>
    <x:row r="10">
      <x:c r="A10" s="18" t="str">
        <x:v>https://www.schwimmbadbau24.de/Plattenwaermetauscher-PWT-50-kW-Edelstahl-geloetet</x:v>
      </x:c>
      <x:c r="B10" s="18" t="str">
        <x:v>Pool-Plattenwärmetauscher 50 kW</x:v>
      </x:c>
      <x:c r="C10" s="18" t="str">
        <x:v>Poolmaterial/Chlorid prüfen</x:v>
      </x:c>
    </x:row>
    <x:row r="11">
      <x:c r="A11" s="18" t="str">
        <x:v>https://www.gemke-shop.de/dosiertechnik/schwimmbad/elektroden/</x:v>
      </x:c>
      <x:c r="B11" s="18" t="str">
        <x:v>Acryl-Messzelle pH/Redox</x:v>
      </x:c>
      <x:c r="C11" s="18" t="str">
        <x:v>Pooldosierung</x:v>
      </x:c>
    </x:row>
    <x:row r="12">
      <x:c r="A12" s="18" t="str">
        <x:v>https://www.idealo.de/preisvergleich/Liste/123483211/ph-elektrode-bnc-pool.html</x:v>
      </x:c>
      <x:c r="B12" s="18" t="str">
        <x:v>pH-Elektrode BNC Preisvergleich</x:v>
      </x:c>
      <x:c r="C12" s="18" t="str">
        <x:v>Pooldosierung</x:v>
      </x:c>
    </x:row>
    <x:row r="13">
      <x:c r="A13" s="18" t="str">
        <x:v>https://www.idealo.de/preisvergleich/Liste/123492102/redox-elektrode-pool.html</x:v>
      </x:c>
      <x:c r="B13" s="18" t="str">
        <x:v>Redox-Elektrode Preisvergleich</x:v>
      </x:c>
      <x:c r="C13" s="18" t="str">
        <x:v>Pooldosierung</x:v>
      </x:c>
    </x:row>
    <x:row r="14">
      <x:c r="A14" s="18" t="str">
        <x:v>https://www.antratek.de/industrial-ph-meter-sensor-modbus-rtu-rs485</x:v>
      </x:c>
      <x:c r="B14" s="18" t="str">
        <x:v>pH-Sensor mit Modbus/RS485 Beispiel</x:v>
      </x:c>
      <x:c r="C14" s="18" t="str">
        <x:v>Messumformer/Steuerungsanbindung</x:v>
      </x:c>
    </x:row>
    <x:row r="15">
      <x:c r="A15" s="18" t="str">
        <x:v>https://www.idealo.de/preisvergleich/Liste/122043962/impfventil-1-2.html</x:v>
      </x:c>
      <x:c r="B15" s="18" t="str">
        <x:v>Impfventile 1/2" Preisvergleich</x:v>
      </x:c>
      <x:c r="C15" s="18" t="str">
        <x:v>Dosierstellen</x:v>
      </x:c>
    </x:row>
    <x:row r="16">
      <x:c r="A16" s="18" t="str">
        <x:v>https://www.amazon.de/s?k=peristaltische+dosierpumpe+12v</x:v>
      </x:c>
      <x:c r="B16" s="18" t="str">
        <x:v>Schlauchpumpen Suchlink</x:v>
      </x:c>
      <x:c r="C16" s="18" t="str">
        <x:v>Dosierpumpen</x:v>
      </x:c>
    </x:row>
    <x:row r="17">
      <x:c r="A17" s="18" t="str">
        <x:v>https://www.dincertco.de/din-certco/de/main-navigation/products-and-services/certification-of-products/raumheizung-und-k%C3%BChlung/rohrleitungen-aus-kunststoff/</x:v>
      </x:c>
      <x:c r="B17" s="18" t="str">
        <x:v>Sauerstoffdichtheit nach DIN 4726 bei Kunststoff-Heizungsrohren</x:v>
      </x:c>
      <x:c r="C17" s="18" t="str">
        <x:v>Technischer Hinweis</x:v>
      </x:c>
    </x:row>
    <x:row r="20">
      <x:c r="A20" s="26" t="str">
        <x:v>Summenhinweis</x:v>
      </x:c>
      <x:c r="B20" s="18" t="str">
        <x:v>Die Summe in der Komponentenliste enthält nur grobe Richtwerte und Pauschalpositionen. Versand, Kleinteile, Gewindedichtungen, zusätzliche Bögen/Übergänge und Chemikalien sind nicht vollständig enthalten.</x:v>
      </x:c>
    </x:row>
    <x:row r="21">
      <x:c r="A21" s="26" t="str">
        <x:v>Empfohlene nächste Prüfung</x:v>
      </x:c>
      <x:c r="B21" s="18" t="str">
        <x:v>Vor Einkauf: endgültige Rohrdimension, Pumpenförderhöhe, WT-Leistung, MAG-Größe, Frostschutzkonzept und elektrische Schutzmaßnahmen prüfen.</x:v>
      </x:c>
    </x:row>
    <x:row r="23">
      <x:c r="A23" s="32" t="str">
        <x:v>Grobe Summe Komponentenliste</x:v>
      </x:c>
      <x:c r="B23" s="33" t="n">
        <x:f>SUM(Komponentenliste!K2:K92)</x:f>
        <x:v>7308</x:v>
      </x:c>
    </x:row>
  </x:sheetData>
  <x:pageMargins left="0.7" right="0.7" top="0.75" bottom="0.75" header="0.3" footer="0.3"/>
  <x:tableParts count="1">
    <x:tablePart xmlns:r="http://schemas.openxmlformats.org/officeDocument/2006/relationships" r:id="Reaf54561fe584d7e"/>
  </x:tableParts>
</x:worksheet>
</file>